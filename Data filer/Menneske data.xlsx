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knu\OneDrive\Skrivebord\Game test python\Data filer\"/>
    </mc:Choice>
  </mc:AlternateContent>
  <xr:revisionPtr revIDLastSave="0" documentId="8_{C6CD5D54-32C6-490D-99A9-441075DCD007}" xr6:coauthVersionLast="47" xr6:coauthVersionMax="47" xr10:uidLastSave="{00000000-0000-0000-0000-000000000000}"/>
  <bookViews>
    <workbookView xWindow="-108" yWindow="-108" windowWidth="23256" windowHeight="12576" xr2:uid="{ACB49BEC-3272-4457-A684-4B2A299E62A2}"/>
  </bookViews>
  <sheets>
    <sheet name="Menneske data" sheetId="1" r:id="rId1"/>
  </sheets>
  <calcPr calcId="0"/>
</workbook>
</file>

<file path=xl/calcChain.xml><?xml version="1.0" encoding="utf-8"?>
<calcChain xmlns="http://schemas.openxmlformats.org/spreadsheetml/2006/main">
  <c r="I384" i="1" l="1"/>
  <c r="I383" i="1"/>
  <c r="I38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2" i="1"/>
</calcChain>
</file>

<file path=xl/sharedStrings.xml><?xml version="1.0" encoding="utf-8"?>
<sst xmlns="http://schemas.openxmlformats.org/spreadsheetml/2006/main" count="1909" uniqueCount="416">
  <si>
    <t>timestamp</t>
  </si>
  <si>
    <t>run_label</t>
  </si>
  <si>
    <t>level</t>
  </si>
  <si>
    <t>Player name</t>
  </si>
  <si>
    <t>outcome</t>
  </si>
  <si>
    <t>ticks</t>
  </si>
  <si>
    <t>inputs</t>
  </si>
  <si>
    <t>resets</t>
  </si>
  <si>
    <t>elapsed_seconds</t>
  </si>
  <si>
    <t>final_reward</t>
  </si>
  <si>
    <t>Calculated_completion_score</t>
  </si>
  <si>
    <t>2026-05-09T16:28:30</t>
  </si>
  <si>
    <t>human</t>
  </si>
  <si>
    <t>level_1</t>
  </si>
  <si>
    <t>Mette Juul Knudsen</t>
  </si>
  <si>
    <t>complete</t>
  </si>
  <si>
    <t>2026-05-09T16:28:37</t>
  </si>
  <si>
    <t>2026-05-09T16:28:41</t>
  </si>
  <si>
    <t>2026-05-09T16:28:44</t>
  </si>
  <si>
    <t>2026-05-09T16:28:48</t>
  </si>
  <si>
    <t>2026-05-09T16:28:56</t>
  </si>
  <si>
    <t>level_2</t>
  </si>
  <si>
    <t>2026-05-09T16:29:01</t>
  </si>
  <si>
    <t>2026-05-09T16:29:04</t>
  </si>
  <si>
    <t>2026-05-09T16:29:07</t>
  </si>
  <si>
    <t>2026-05-09T16:29:10</t>
  </si>
  <si>
    <t>2026-05-09T16:29:26</t>
  </si>
  <si>
    <t>level_3</t>
  </si>
  <si>
    <t>2026-05-09T16:29:40</t>
  </si>
  <si>
    <t>2026-05-09T16:30:10</t>
  </si>
  <si>
    <t>timeout</t>
  </si>
  <si>
    <t>-0.010</t>
  </si>
  <si>
    <t>2026-05-09T16:30:23</t>
  </si>
  <si>
    <t>2026-05-09T16:30:34</t>
  </si>
  <si>
    <t>2026-05-09T16:31:04</t>
  </si>
  <si>
    <t>level_4</t>
  </si>
  <si>
    <t>2026-05-09T16:31:35</t>
  </si>
  <si>
    <t>2026-05-09T16:32:05</t>
  </si>
  <si>
    <t>0.740</t>
  </si>
  <si>
    <t>2026-05-09T16:32:36</t>
  </si>
  <si>
    <t>2026-05-09T16:33:06</t>
  </si>
  <si>
    <t>2026-05-09T16:33:11</t>
  </si>
  <si>
    <t>level_5</t>
  </si>
  <si>
    <t>2026-05-09T16:33:15</t>
  </si>
  <si>
    <t>2026-05-09T16:33:19</t>
  </si>
  <si>
    <t>2026-05-09T16:33:22</t>
  </si>
  <si>
    <t>2026-05-09T16:33:25</t>
  </si>
  <si>
    <t>2026-05-09T16:34:41</t>
  </si>
  <si>
    <t>Erik Skov Knudsen</t>
  </si>
  <si>
    <t>2026-05-09T16:34:44</t>
  </si>
  <si>
    <t>2026-05-09T16:34:47</t>
  </si>
  <si>
    <t>2026-05-09T16:34:50</t>
  </si>
  <si>
    <t>2026-05-09T16:34:52</t>
  </si>
  <si>
    <t>2026-05-09T16:34:57</t>
  </si>
  <si>
    <t>2026-05-09T16:35:00</t>
  </si>
  <si>
    <t>2026-05-09T16:35:04</t>
  </si>
  <si>
    <t>2026-05-09T16:35:07</t>
  </si>
  <si>
    <t>2026-05-09T16:35:09</t>
  </si>
  <si>
    <t>2026-05-09T16:35:21</t>
  </si>
  <si>
    <t>2026-05-09T16:35:31</t>
  </si>
  <si>
    <t>2026-05-09T16:35:42</t>
  </si>
  <si>
    <t>2026-05-09T16:35:49</t>
  </si>
  <si>
    <t>2026-05-09T16:35:57</t>
  </si>
  <si>
    <t>2026-05-09T16:36:27</t>
  </si>
  <si>
    <t>2026-05-09T16:36:38</t>
  </si>
  <si>
    <t>2026-05-09T16:37:08</t>
  </si>
  <si>
    <t>2026-05-09T16:37:17</t>
  </si>
  <si>
    <t>2026-05-09T16:37:28</t>
  </si>
  <si>
    <t>2026-05-09T16:37:35</t>
  </si>
  <si>
    <t>2026-05-09T16:37:38</t>
  </si>
  <si>
    <t>2026-05-09T16:37:40</t>
  </si>
  <si>
    <t>2026-05-09T16:37:47</t>
  </si>
  <si>
    <t>2026-05-09T16:37:55</t>
  </si>
  <si>
    <t>2026-05-10T11:40:37</t>
  </si>
  <si>
    <t>Nicoline Juul Knudsen</t>
  </si>
  <si>
    <t>2026-05-10T11:40:39</t>
  </si>
  <si>
    <t>2026-05-10T11:40:41</t>
  </si>
  <si>
    <t>2026-05-10T11:40:42</t>
  </si>
  <si>
    <t>2026-05-10T11:40:44</t>
  </si>
  <si>
    <t>2026-05-10T11:40:56</t>
  </si>
  <si>
    <t>2026-05-10T11:40:58</t>
  </si>
  <si>
    <t>2026-05-10T11:41:00</t>
  </si>
  <si>
    <t>2026-05-10T11:41:01</t>
  </si>
  <si>
    <t>2026-05-10T11:41:03</t>
  </si>
  <si>
    <t>2026-05-10T11:41:10</t>
  </si>
  <si>
    <t>2026-05-10T11:41:18</t>
  </si>
  <si>
    <t>2026-05-10T11:41:26</t>
  </si>
  <si>
    <t>2026-05-10T11:41:31</t>
  </si>
  <si>
    <t>2026-05-10T11:41:36</t>
  </si>
  <si>
    <t>2026-05-10T11:42:07</t>
  </si>
  <si>
    <t>2026-05-10T11:42:12</t>
  </si>
  <si>
    <t>2026-05-10T11:42:16</t>
  </si>
  <si>
    <t>2026-05-10T11:42:20</t>
  </si>
  <si>
    <t>2026-05-10T11:42:23</t>
  </si>
  <si>
    <t>2026-05-10T11:42:33</t>
  </si>
  <si>
    <t>2026-05-10T11:42:38</t>
  </si>
  <si>
    <t>2026-05-10T11:42:40</t>
  </si>
  <si>
    <t>2026-05-10T11:42:42</t>
  </si>
  <si>
    <t>2026-05-10T11:42:43</t>
  </si>
  <si>
    <t>2026-05-10T11:43:42</t>
  </si>
  <si>
    <t>Frederik Juul Knudsen</t>
  </si>
  <si>
    <t>2026-05-10T11:43:44</t>
  </si>
  <si>
    <t>2026-05-10T11:43:46</t>
  </si>
  <si>
    <t>2026-05-10T11:43:48</t>
  </si>
  <si>
    <t>2026-05-10T11:43:49</t>
  </si>
  <si>
    <t>2026-05-10T11:43:54</t>
  </si>
  <si>
    <t>2026-05-10T11:43:56</t>
  </si>
  <si>
    <t>2026-05-10T11:43:57</t>
  </si>
  <si>
    <t>2026-05-10T11:43:59</t>
  </si>
  <si>
    <t>2026-05-10T11:44:01</t>
  </si>
  <si>
    <t>2026-05-10T11:44:11</t>
  </si>
  <si>
    <t>2026-05-10T11:44:15</t>
  </si>
  <si>
    <t>2026-05-10T11:44:20</t>
  </si>
  <si>
    <t>2026-05-10T11:44:24</t>
  </si>
  <si>
    <t>2026-05-10T11:44:29</t>
  </si>
  <si>
    <t>2026-05-10T11:44:58</t>
  </si>
  <si>
    <t>2026-05-10T11:45:02</t>
  </si>
  <si>
    <t>2026-05-10T11:45:07</t>
  </si>
  <si>
    <t>2026-05-10T11:45:11</t>
  </si>
  <si>
    <t>2026-05-10T11:45:15</t>
  </si>
  <si>
    <t>2026-05-10T11:45:18</t>
  </si>
  <si>
    <t>2026-05-10T11:45:20</t>
  </si>
  <si>
    <t>2026-05-10T11:45:21</t>
  </si>
  <si>
    <t>2026-05-10T11:45:23</t>
  </si>
  <si>
    <t>2026-05-10T11:45:24</t>
  </si>
  <si>
    <t>2026-05-12T14:57:55</t>
  </si>
  <si>
    <t>Marcus Slot Rohr</t>
  </si>
  <si>
    <t>2026-05-12T14:57:58</t>
  </si>
  <si>
    <t>2026-05-12T14:58:00</t>
  </si>
  <si>
    <t>2026-05-12T14:58:03</t>
  </si>
  <si>
    <t>2026-05-12T14:58:04</t>
  </si>
  <si>
    <t>2026-05-12T14:58:10</t>
  </si>
  <si>
    <t>2026-05-12T14:58:15</t>
  </si>
  <si>
    <t>2026-05-12T14:58:21</t>
  </si>
  <si>
    <t>2026-05-12T14:58:23</t>
  </si>
  <si>
    <t>2026-05-12T14:58:25</t>
  </si>
  <si>
    <t>2026-05-12T14:58:37</t>
  </si>
  <si>
    <t>2026-05-12T14:58:43</t>
  </si>
  <si>
    <t>2026-05-12T14:58:49</t>
  </si>
  <si>
    <t>2026-05-12T14:58:55</t>
  </si>
  <si>
    <t>2026-05-12T14:59:00</t>
  </si>
  <si>
    <t>2026-05-12T14:59:12</t>
  </si>
  <si>
    <t>2026-05-12T14:59:15</t>
  </si>
  <si>
    <t>2026-05-12T14:59:20</t>
  </si>
  <si>
    <t>2026-05-12T14:59:25</t>
  </si>
  <si>
    <t>2026-05-12T14:59:28</t>
  </si>
  <si>
    <t>2026-05-12T14:59:36</t>
  </si>
  <si>
    <t>2026-05-12T14:59:42</t>
  </si>
  <si>
    <t>2026-05-12T14:59:49</t>
  </si>
  <si>
    <t>2026-05-12T14:59:51</t>
  </si>
  <si>
    <t>2026-05-12T14:59:52</t>
  </si>
  <si>
    <t>2026-05-12T20:07:16</t>
  </si>
  <si>
    <t>Alfred Kelly</t>
  </si>
  <si>
    <t>2026-05-12T20:07:19</t>
  </si>
  <si>
    <t>2026-05-12T20:07:21</t>
  </si>
  <si>
    <t>2026-05-12T20:07:23</t>
  </si>
  <si>
    <t>2026-05-12T20:07:24</t>
  </si>
  <si>
    <t>2026-05-12T20:07:29</t>
  </si>
  <si>
    <t>2026-05-12T20:07:31</t>
  </si>
  <si>
    <t>2026-05-12T20:07:33</t>
  </si>
  <si>
    <t>2026-05-12T20:07:35</t>
  </si>
  <si>
    <t>2026-05-12T20:07:36</t>
  </si>
  <si>
    <t>2026-05-12T20:07:48</t>
  </si>
  <si>
    <t>2026-05-12T20:07:52</t>
  </si>
  <si>
    <t>2026-05-12T20:07:55</t>
  </si>
  <si>
    <t>2026-05-12T20:07:59</t>
  </si>
  <si>
    <t>2026-05-12T20:08:02</t>
  </si>
  <si>
    <t>2026-05-12T20:08:18</t>
  </si>
  <si>
    <t>2026-05-12T20:08:21</t>
  </si>
  <si>
    <t>2026-05-12T20:08:24</t>
  </si>
  <si>
    <t>2026-05-12T20:08:27</t>
  </si>
  <si>
    <t>2026-05-12T20:08:30</t>
  </si>
  <si>
    <t>2026-05-12T20:08:36</t>
  </si>
  <si>
    <t>2026-05-12T20:08:46</t>
  </si>
  <si>
    <t>2026-05-12T20:08:48</t>
  </si>
  <si>
    <t>2026-05-12T20:08:50</t>
  </si>
  <si>
    <t>2026-05-12T20:08:51</t>
  </si>
  <si>
    <t>2026-05-12T20:10:42</t>
  </si>
  <si>
    <t>Mathilde Vogel</t>
  </si>
  <si>
    <t>2026-05-12T20:10:44</t>
  </si>
  <si>
    <t>2026-05-12T20:10:45</t>
  </si>
  <si>
    <t>2026-05-12T20:10:47</t>
  </si>
  <si>
    <t>2026-05-12T20:10:48</t>
  </si>
  <si>
    <t>2026-05-12T20:10:51</t>
  </si>
  <si>
    <t>2026-05-12T20:10:53</t>
  </si>
  <si>
    <t>2026-05-12T20:10:54</t>
  </si>
  <si>
    <t>2026-05-12T20:10:56</t>
  </si>
  <si>
    <t>2026-05-12T20:10:57</t>
  </si>
  <si>
    <t>2026-05-12T20:11:03</t>
  </si>
  <si>
    <t>2026-05-12T20:11:23</t>
  </si>
  <si>
    <t>2026-05-12T20:11:27</t>
  </si>
  <si>
    <t>2026-05-12T20:11:31</t>
  </si>
  <si>
    <t>2026-05-12T20:11:35</t>
  </si>
  <si>
    <t>2026-05-12T20:12:05</t>
  </si>
  <si>
    <t>2026-05-12T20:12:36</t>
  </si>
  <si>
    <t>-0.760</t>
  </si>
  <si>
    <t>2026-05-12T20:13:06</t>
  </si>
  <si>
    <t>2026-05-12T20:13:37</t>
  </si>
  <si>
    <t>2026-05-12T20:14:07</t>
  </si>
  <si>
    <t>2026-05-12T20:14:10</t>
  </si>
  <si>
    <t>2026-05-12T20:14:16</t>
  </si>
  <si>
    <t>2026-05-12T20:14:23</t>
  </si>
  <si>
    <t>2026-05-12T20:14:26</t>
  </si>
  <si>
    <t>2026-05-12T20:14:29</t>
  </si>
  <si>
    <t>2026-05-13T18:10:28</t>
  </si>
  <si>
    <t>Daniel Ermegaard Barbisan</t>
  </si>
  <si>
    <t>2026-05-13T18:10:30</t>
  </si>
  <si>
    <t>2026-05-13T18:10:32</t>
  </si>
  <si>
    <t>2026-05-13T18:10:33</t>
  </si>
  <si>
    <t>2026-05-13T18:10:35</t>
  </si>
  <si>
    <t>2026-05-13T18:10:41</t>
  </si>
  <si>
    <t>2026-05-13T18:10:43</t>
  </si>
  <si>
    <t>2026-05-13T18:10:44</t>
  </si>
  <si>
    <t>2026-05-13T18:10:46</t>
  </si>
  <si>
    <t>2026-05-13T18:10:47</t>
  </si>
  <si>
    <t>2026-05-13T18:10:56</t>
  </si>
  <si>
    <t>2026-05-13T18:11:00</t>
  </si>
  <si>
    <t>2026-05-13T18:11:04</t>
  </si>
  <si>
    <t>2026-05-13T18:11:07</t>
  </si>
  <si>
    <t>2026-05-13T18:11:11</t>
  </si>
  <si>
    <t>2026-05-13T18:11:21</t>
  </si>
  <si>
    <t>2026-05-13T18:11:25</t>
  </si>
  <si>
    <t>2026-05-13T18:11:28</t>
  </si>
  <si>
    <t>2026-05-13T18:11:30</t>
  </si>
  <si>
    <t>2026-05-13T18:11:32</t>
  </si>
  <si>
    <t>2026-05-13T18:11:38</t>
  </si>
  <si>
    <t>2026-05-13T18:11:41</t>
  </si>
  <si>
    <t>2026-05-13T18:11:44</t>
  </si>
  <si>
    <t>2026-05-13T18:11:46</t>
  </si>
  <si>
    <t>2026-05-13T18:11:54</t>
  </si>
  <si>
    <t>2026-05-13T12:29:52</t>
  </si>
  <si>
    <t>Katrine Hansen</t>
  </si>
  <si>
    <t>2026-05-13T12:29:55</t>
  </si>
  <si>
    <t>2026-05-13T12:29:56</t>
  </si>
  <si>
    <t>2026-05-13T12:29:58</t>
  </si>
  <si>
    <t>2026-05-13T12:30:00</t>
  </si>
  <si>
    <t>2026-05-13T12:30:02</t>
  </si>
  <si>
    <t>2026-05-13T12:30:03</t>
  </si>
  <si>
    <t>2026-05-13T12:30:05</t>
  </si>
  <si>
    <t>2026-05-13T12:30:06</t>
  </si>
  <si>
    <t>2026-05-13T12:30:08</t>
  </si>
  <si>
    <t>2026-05-13T12:30:20</t>
  </si>
  <si>
    <t>2026-05-13T12:30:23</t>
  </si>
  <si>
    <t>2026-05-13T12:30:27</t>
  </si>
  <si>
    <t>2026-05-13T12:30:30</t>
  </si>
  <si>
    <t>2026-05-13T12:30:34</t>
  </si>
  <si>
    <t>2026-05-13T12:30:48</t>
  </si>
  <si>
    <t>2026-05-13T12:30:52</t>
  </si>
  <si>
    <t>2026-05-13T12:30:55</t>
  </si>
  <si>
    <t>2026-05-13T12:30:58</t>
  </si>
  <si>
    <t>2026-05-13T12:31:01</t>
  </si>
  <si>
    <t>2026-05-13T12:31:04</t>
  </si>
  <si>
    <t>2026-05-13T12:31:06</t>
  </si>
  <si>
    <t>2026-05-13T12:31:07</t>
  </si>
  <si>
    <t>2026-05-13T12:31:08</t>
  </si>
  <si>
    <t>2026-05-13T12:31:10</t>
  </si>
  <si>
    <t>2026-05-13T12:42:28</t>
  </si>
  <si>
    <t>Frederik Nicolajsen</t>
  </si>
  <si>
    <t>2026-05-13T12:42:32</t>
  </si>
  <si>
    <t>2026-05-13T12:42:38</t>
  </si>
  <si>
    <t>2026-05-13T12:42:39</t>
  </si>
  <si>
    <t>2026-05-13T12:42:41</t>
  </si>
  <si>
    <t>2026-05-13T12:42:42</t>
  </si>
  <si>
    <t>2026-05-13T12:42:44</t>
  </si>
  <si>
    <t>2026-05-13T12:42:45</t>
  </si>
  <si>
    <t>2026-05-13T12:42:47</t>
  </si>
  <si>
    <t>2026-05-13T12:42:48</t>
  </si>
  <si>
    <t>2026-05-13T12:42:53</t>
  </si>
  <si>
    <t>2026-05-13T12:42:57</t>
  </si>
  <si>
    <t>2026-05-13T12:43:00</t>
  </si>
  <si>
    <t>2026-05-13T12:43:04</t>
  </si>
  <si>
    <t>2026-05-13T12:43:08</t>
  </si>
  <si>
    <t>2026-05-13T12:43:19</t>
  </si>
  <si>
    <t>2026-05-13T12:43:25</t>
  </si>
  <si>
    <t>2026-05-13T12:43:27</t>
  </si>
  <si>
    <t>2026-05-13T12:43:30</t>
  </si>
  <si>
    <t>2026-05-13T12:43:34</t>
  </si>
  <si>
    <t>2026-05-13T12:43:36</t>
  </si>
  <si>
    <t>2026-05-13T12:43:38</t>
  </si>
  <si>
    <t>2026-05-13T12:43:40</t>
  </si>
  <si>
    <t>Stefan+E49</t>
  </si>
  <si>
    <t>2026-05-13T12:43:42</t>
  </si>
  <si>
    <t>2026-05-13T12:43:43</t>
  </si>
  <si>
    <t>2026-05-13T16:13:36</t>
  </si>
  <si>
    <t>Stefan Hansen</t>
  </si>
  <si>
    <t>2026-05-13T16:13:41</t>
  </si>
  <si>
    <t>2026-05-13T16:13:43</t>
  </si>
  <si>
    <t>2026-05-13T16:13:44</t>
  </si>
  <si>
    <t>2026-05-13T16:13:46</t>
  </si>
  <si>
    <t>2026-05-13T16:13:47</t>
  </si>
  <si>
    <t>2026-05-13T16:13:49</t>
  </si>
  <si>
    <t>2026-05-13T16:13:50</t>
  </si>
  <si>
    <t>2026-05-13T16:13:52</t>
  </si>
  <si>
    <t>2026-05-13T16:13:53</t>
  </si>
  <si>
    <t>2026-05-13T16:13:58</t>
  </si>
  <si>
    <t>2026-05-13T16:14:01</t>
  </si>
  <si>
    <t>2026-05-13T16:14:05</t>
  </si>
  <si>
    <t>2026-05-13T16:14:08</t>
  </si>
  <si>
    <t>2026-05-13T16:14:14</t>
  </si>
  <si>
    <t>2026-05-13T16:14:27</t>
  </si>
  <si>
    <t>2026-05-13T16:14:31</t>
  </si>
  <si>
    <t>2026-05-13T16:14:34</t>
  </si>
  <si>
    <t>2026-05-13T16:14:41</t>
  </si>
  <si>
    <t>2026-05-13T16:14:44</t>
  </si>
  <si>
    <t>2026-05-13T16:14:47</t>
  </si>
  <si>
    <t>2026-05-13T16:14:49</t>
  </si>
  <si>
    <t>2026-05-13T16:14:50</t>
  </si>
  <si>
    <t>2026-05-13T16:14:51</t>
  </si>
  <si>
    <t>2026-05-13T16:14:53</t>
  </si>
  <si>
    <t>2026-05-14T20:34:27</t>
  </si>
  <si>
    <t>Ian Russell Whittall</t>
  </si>
  <si>
    <t>2026-05-14T20:34:31</t>
  </si>
  <si>
    <t>2026-05-14T20:34:33</t>
  </si>
  <si>
    <t>2026-05-14T20:34:35</t>
  </si>
  <si>
    <t>2026-05-14T20:34:37</t>
  </si>
  <si>
    <t>2026-05-14T20:34:44</t>
  </si>
  <si>
    <t>2026-05-14T20:34:46</t>
  </si>
  <si>
    <t>2026-05-14T20:34:49</t>
  </si>
  <si>
    <t>2026-05-14T20:34:51</t>
  </si>
  <si>
    <t>2026-05-14T20:34:53</t>
  </si>
  <si>
    <t>2026-05-14T20:35:15</t>
  </si>
  <si>
    <t>2026-05-14T20:35:23</t>
  </si>
  <si>
    <t>2026-05-14T20:35:32</t>
  </si>
  <si>
    <t>2026-05-14T20:35:41</t>
  </si>
  <si>
    <t>2026-05-14T20:35:49</t>
  </si>
  <si>
    <t>2026-05-14T20:36:20</t>
  </si>
  <si>
    <t>2026-05-14T20:36:40</t>
  </si>
  <si>
    <t>2026-05-14T20:36:46</t>
  </si>
  <si>
    <t>2026-05-14T20:36:50</t>
  </si>
  <si>
    <t>2026-05-14T20:36:55</t>
  </si>
  <si>
    <t>2026-05-14T20:37:04</t>
  </si>
  <si>
    <t>2026-05-14T20:37:07</t>
  </si>
  <si>
    <t>2026-05-14T20:37:11</t>
  </si>
  <si>
    <t>2026-05-14T20:37:14</t>
  </si>
  <si>
    <t>2026-05-14T20:37:16</t>
  </si>
  <si>
    <t>2026-05-14T20:41:36</t>
  </si>
  <si>
    <t>Marianne Christensen</t>
  </si>
  <si>
    <t>2026-05-14T20:41:38</t>
  </si>
  <si>
    <t>2026-05-14T20:41:40</t>
  </si>
  <si>
    <t>2026-05-14T20:41:42</t>
  </si>
  <si>
    <t>2026-05-14T20:41:44</t>
  </si>
  <si>
    <t>2026-05-14T20:41:51</t>
  </si>
  <si>
    <t>2026-05-14T20:41:54</t>
  </si>
  <si>
    <t>2026-05-14T20:41:56</t>
  </si>
  <si>
    <t>2026-05-14T20:41:58</t>
  </si>
  <si>
    <t>2026-05-14T20:42:00</t>
  </si>
  <si>
    <t>2026-05-14T20:42:14</t>
  </si>
  <si>
    <t>2026-05-14T20:42:31</t>
  </si>
  <si>
    <t>2026-05-14T20:42:45</t>
  </si>
  <si>
    <t>2026-05-14T20:42:58</t>
  </si>
  <si>
    <t>2026-05-14T20:43:11</t>
  </si>
  <si>
    <t>2026-05-14T20:43:42</t>
  </si>
  <si>
    <t>2026-05-14T20:43:50</t>
  </si>
  <si>
    <t>2026-05-14T20:44:05</t>
  </si>
  <si>
    <t>2026-05-14T20:44:35</t>
  </si>
  <si>
    <t>2026-05-14T20:44:45</t>
  </si>
  <si>
    <t>2026-05-14T20:44:51</t>
  </si>
  <si>
    <t>2026-05-14T20:44:59</t>
  </si>
  <si>
    <t>2026-05-14T20:45:06</t>
  </si>
  <si>
    <t>2026-05-14T20:45:12</t>
  </si>
  <si>
    <t>2026-05-14T20:45:30</t>
  </si>
  <si>
    <t>2026-05-14T20:47:32</t>
  </si>
  <si>
    <t>Betina Doctor WÃ¼rtz</t>
  </si>
  <si>
    <t>2026-05-14T20:47:35</t>
  </si>
  <si>
    <t>2026-05-14T20:47:37</t>
  </si>
  <si>
    <t>2026-05-14T20:47:39</t>
  </si>
  <si>
    <t>2026-05-14T20:47:41</t>
  </si>
  <si>
    <t>2026-05-14T20:47:45</t>
  </si>
  <si>
    <t>2026-05-14T20:47:48</t>
  </si>
  <si>
    <t>2026-05-14T20:47:50</t>
  </si>
  <si>
    <t>2026-05-14T20:47:52</t>
  </si>
  <si>
    <t>2026-05-14T20:47:54</t>
  </si>
  <si>
    <t>2026-05-14T20:48:12</t>
  </si>
  <si>
    <t>2026-05-14T20:48:19</t>
  </si>
  <si>
    <t>2026-05-14T20:48:25</t>
  </si>
  <si>
    <t>2026-05-14T20:48:43</t>
  </si>
  <si>
    <t>2026-05-14T20:48:51</t>
  </si>
  <si>
    <t>2026-05-14T20:49:22</t>
  </si>
  <si>
    <t>2026-05-14T20:49:53</t>
  </si>
  <si>
    <t>2026-05-14T20:50:01</t>
  </si>
  <si>
    <t>2026-05-14T20:50:32</t>
  </si>
  <si>
    <t>2026-05-14T20:50:51</t>
  </si>
  <si>
    <t>2026-05-14T20:51:03</t>
  </si>
  <si>
    <t>2026-05-14T20:51:16</t>
  </si>
  <si>
    <t>2026-05-14T20:51:17</t>
  </si>
  <si>
    <t>2026-05-14T20:51:19</t>
  </si>
  <si>
    <t>2026-05-14T20:51:25</t>
  </si>
  <si>
    <t>2026-05-14T20:55:17</t>
  </si>
  <si>
    <t>Raheel Raja</t>
  </si>
  <si>
    <t>2026-05-14T20:55:20</t>
  </si>
  <si>
    <t>2026-05-14T20:55:22</t>
  </si>
  <si>
    <t>2026-05-14T20:55:27</t>
  </si>
  <si>
    <t>2026-05-14T20:55:33</t>
  </si>
  <si>
    <t>2026-05-14T20:55:37</t>
  </si>
  <si>
    <t>2026-05-14T20:55:40</t>
  </si>
  <si>
    <t>2026-05-14T20:55:44</t>
  </si>
  <si>
    <t>2026-05-14T20:55:48</t>
  </si>
  <si>
    <t>2026-05-14T20:55:49</t>
  </si>
  <si>
    <t>2026-05-14T20:56:00</t>
  </si>
  <si>
    <t>2026-05-14T20:56:04</t>
  </si>
  <si>
    <t>2026-05-14T20:56:11</t>
  </si>
  <si>
    <t>2026-05-14T20:56:16</t>
  </si>
  <si>
    <t>2026-05-14T20:56:20</t>
  </si>
  <si>
    <t>2026-05-14T20:56:50</t>
  </si>
  <si>
    <t>2026-05-14T20:57:00</t>
  </si>
  <si>
    <t>2026-05-14T20:57:04</t>
  </si>
  <si>
    <t>2026-05-14T20:57:06</t>
  </si>
  <si>
    <t>2026-05-14T20:57:12</t>
  </si>
  <si>
    <t>2026-05-14T20:57:18</t>
  </si>
  <si>
    <t>2026-05-14T20:57:21</t>
  </si>
  <si>
    <t>2026-05-14T20:57:22</t>
  </si>
  <si>
    <t>2026-05-14T20:57:25</t>
  </si>
  <si>
    <t>2026-05-14T20:57:26</t>
  </si>
  <si>
    <t>Gennemsnit:</t>
  </si>
  <si>
    <t>Mindste værdi:</t>
  </si>
  <si>
    <t>Maksimale værdi optaget: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</si>
</sst>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 % - Farve1" xfId="19" builtinId="30" customBuiltin="1"/>
    <cellStyle name="20 % - Farve2" xfId="23" builtinId="34" customBuiltin="1"/>
    <cellStyle name="20 % - Farve3" xfId="27" builtinId="38" customBuiltin="1"/>
    <cellStyle name="20 % - Farve4" xfId="31" builtinId="42" customBuiltin="1"/>
    <cellStyle name="20 % - Farve5" xfId="35" builtinId="46" customBuiltin="1"/>
    <cellStyle name="20 % - Farve6" xfId="39" builtinId="50" customBuiltin="1"/>
    <cellStyle name="40 % - Farve1" xfId="20" builtinId="31" customBuiltin="1"/>
    <cellStyle name="40 % - Farve2" xfId="24" builtinId="35" customBuiltin="1"/>
    <cellStyle name="40 % - Farve3" xfId="28" builtinId="39" customBuiltin="1"/>
    <cellStyle name="40 % - Farve4" xfId="32" builtinId="43" customBuiltin="1"/>
    <cellStyle name="40 % - Farve5" xfId="36" builtinId="47" customBuiltin="1"/>
    <cellStyle name="40 % - Farve6" xfId="40" builtinId="51" customBuiltin="1"/>
    <cellStyle name="60 % - Farve1" xfId="21" builtinId="32" customBuiltin="1"/>
    <cellStyle name="60 % - Farve2" xfId="25" builtinId="36" customBuiltin="1"/>
    <cellStyle name="60 % - Farve3" xfId="29" builtinId="40" customBuiltin="1"/>
    <cellStyle name="60 % - Farve4" xfId="33" builtinId="44" customBuiltin="1"/>
    <cellStyle name="60 % - Farve5" xfId="37" builtinId="48" customBuiltin="1"/>
    <cellStyle name="60 % - Farve6" xfId="41" builtinId="52" customBuiltin="1"/>
    <cellStyle name="Advarselstekst" xfId="14" builtinId="11" customBuiltin="1"/>
    <cellStyle name="Bemærk!" xfId="15" builtinId="10" customBuiltin="1"/>
    <cellStyle name="Beregning" xfId="11" builtinId="22" customBuiltin="1"/>
    <cellStyle name="Farve1" xfId="18" builtinId="29" customBuiltin="1"/>
    <cellStyle name="Farve2" xfId="22" builtinId="33" customBuiltin="1"/>
    <cellStyle name="Farve3" xfId="26" builtinId="37" customBuiltin="1"/>
    <cellStyle name="Farve4" xfId="30" builtinId="41" customBuiltin="1"/>
    <cellStyle name="Farve5" xfId="34" builtinId="45" customBuiltin="1"/>
    <cellStyle name="Farve6" xfId="38" builtinId="49" customBuiltin="1"/>
    <cellStyle name="Forklarende tekst" xfId="16" builtinId="53" customBuiltin="1"/>
    <cellStyle name="God" xfId="6" builtinId="26" customBuiltin="1"/>
    <cellStyle name="Input" xfId="9" builtinId="20" customBuiltin="1"/>
    <cellStyle name="Kontrollér celle" xfId="13" builtinId="23" customBuiltin="1"/>
    <cellStyle name="Neutral" xfId="8" builtinId="28" customBuiltin="1"/>
    <cellStyle name="Normal" xfId="0" builtinId="0"/>
    <cellStyle name="Output" xfId="10" builtinId="21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Sammenkædet celle" xfId="12" builtinId="24" customBuiltin="1"/>
    <cellStyle name="Titel" xfId="1" builtinId="15" customBuiltin="1"/>
    <cellStyle name="Total" xfId="17" builtinId="25" customBuiltin="1"/>
    <cellStyle name="Ugyldig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EC644-B524-4D0D-9274-ED42C90CF826}">
  <dimension ref="A1:K384"/>
  <sheetViews>
    <sheetView tabSelected="1" topLeftCell="A364" workbookViewId="0">
      <selection activeCell="I385" sqref="I385"/>
    </sheetView>
  </sheetViews>
  <sheetFormatPr defaultRowHeight="14.4" x14ac:dyDescent="0.3"/>
  <cols>
    <col min="8" max="8" width="22.33203125" customWidth="1"/>
    <col min="9" max="9" width="16.44140625" customWidth="1"/>
    <col min="10" max="10" width="14.6640625" customWidth="1"/>
    <col min="11" max="11" width="28.2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87</v>
      </c>
      <c r="G2">
        <v>87</v>
      </c>
      <c r="H2">
        <v>0</v>
      </c>
      <c r="I2" s="1">
        <v>8762</v>
      </c>
      <c r="J2" s="2">
        <v>132924</v>
      </c>
      <c r="K2">
        <f>SUM(((F2*G2)+(H2*1.2))*IF(E2="complete",1,1.5))</f>
        <v>7569</v>
      </c>
    </row>
    <row r="3" spans="1:11" x14ac:dyDescent="0.3">
      <c r="A3" t="s">
        <v>16</v>
      </c>
      <c r="B3" t="s">
        <v>12</v>
      </c>
      <c r="C3" t="s">
        <v>13</v>
      </c>
      <c r="D3" t="s">
        <v>14</v>
      </c>
      <c r="E3" t="s">
        <v>15</v>
      </c>
      <c r="F3">
        <v>66</v>
      </c>
      <c r="G3">
        <v>66</v>
      </c>
      <c r="H3">
        <v>0</v>
      </c>
      <c r="I3" s="1">
        <v>6644</v>
      </c>
      <c r="J3" s="2">
        <v>143164</v>
      </c>
      <c r="K3">
        <f t="shared" ref="K3:K66" si="0">SUM(((F3*G3)+(H3*1.2))*IF(E3="complete",1,1.5))</f>
        <v>4356</v>
      </c>
    </row>
    <row r="4" spans="1:11" x14ac:dyDescent="0.3">
      <c r="A4" t="s">
        <v>17</v>
      </c>
      <c r="B4" t="s">
        <v>12</v>
      </c>
      <c r="C4" t="s">
        <v>13</v>
      </c>
      <c r="D4" t="s">
        <v>14</v>
      </c>
      <c r="E4" t="s">
        <v>15</v>
      </c>
      <c r="F4">
        <v>43</v>
      </c>
      <c r="G4">
        <v>43</v>
      </c>
      <c r="H4">
        <v>0</v>
      </c>
      <c r="I4" s="1">
        <v>4329</v>
      </c>
      <c r="J4" s="2">
        <v>150740</v>
      </c>
      <c r="K4">
        <f t="shared" si="0"/>
        <v>1849</v>
      </c>
    </row>
    <row r="5" spans="1:11" x14ac:dyDescent="0.3">
      <c r="A5" t="s">
        <v>18</v>
      </c>
      <c r="B5" t="s">
        <v>12</v>
      </c>
      <c r="C5" t="s">
        <v>13</v>
      </c>
      <c r="D5" t="s">
        <v>14</v>
      </c>
      <c r="E5" t="s">
        <v>15</v>
      </c>
      <c r="F5">
        <v>29</v>
      </c>
      <c r="G5">
        <v>29</v>
      </c>
      <c r="H5">
        <v>0</v>
      </c>
      <c r="I5" s="1">
        <v>2922</v>
      </c>
      <c r="J5" s="2">
        <v>150740</v>
      </c>
      <c r="K5">
        <f t="shared" si="0"/>
        <v>841</v>
      </c>
    </row>
    <row r="6" spans="1:11" x14ac:dyDescent="0.3">
      <c r="A6" t="s">
        <v>19</v>
      </c>
      <c r="B6" t="s">
        <v>12</v>
      </c>
      <c r="C6" t="s">
        <v>13</v>
      </c>
      <c r="D6" t="s">
        <v>14</v>
      </c>
      <c r="E6" t="s">
        <v>15</v>
      </c>
      <c r="F6">
        <v>32</v>
      </c>
      <c r="G6">
        <v>32</v>
      </c>
      <c r="H6">
        <v>0</v>
      </c>
      <c r="I6" s="1">
        <v>3221</v>
      </c>
      <c r="J6" s="2">
        <v>150740</v>
      </c>
      <c r="K6">
        <f t="shared" si="0"/>
        <v>1024</v>
      </c>
    </row>
    <row r="7" spans="1:11" x14ac:dyDescent="0.3">
      <c r="A7" t="s">
        <v>20</v>
      </c>
      <c r="B7" t="s">
        <v>12</v>
      </c>
      <c r="C7" t="s">
        <v>21</v>
      </c>
      <c r="D7" t="s">
        <v>14</v>
      </c>
      <c r="E7" t="s">
        <v>15</v>
      </c>
      <c r="F7">
        <v>84</v>
      </c>
      <c r="G7">
        <v>84</v>
      </c>
      <c r="H7">
        <v>0</v>
      </c>
      <c r="I7" s="1">
        <v>8458</v>
      </c>
      <c r="J7" s="2">
        <v>134073</v>
      </c>
      <c r="K7">
        <f t="shared" si="0"/>
        <v>7056</v>
      </c>
    </row>
    <row r="8" spans="1:11" x14ac:dyDescent="0.3">
      <c r="A8" t="s">
        <v>22</v>
      </c>
      <c r="B8" t="s">
        <v>12</v>
      </c>
      <c r="C8" t="s">
        <v>21</v>
      </c>
      <c r="D8" t="s">
        <v>14</v>
      </c>
      <c r="E8" t="s">
        <v>15</v>
      </c>
      <c r="F8">
        <v>42</v>
      </c>
      <c r="G8">
        <v>42</v>
      </c>
      <c r="H8">
        <v>0</v>
      </c>
      <c r="I8" s="1">
        <v>4229</v>
      </c>
      <c r="J8" s="2">
        <v>150740</v>
      </c>
      <c r="K8">
        <f t="shared" si="0"/>
        <v>1764</v>
      </c>
    </row>
    <row r="9" spans="1:11" x14ac:dyDescent="0.3">
      <c r="A9" t="s">
        <v>23</v>
      </c>
      <c r="B9" t="s">
        <v>12</v>
      </c>
      <c r="C9" t="s">
        <v>21</v>
      </c>
      <c r="D9" t="s">
        <v>14</v>
      </c>
      <c r="E9" t="s">
        <v>15</v>
      </c>
      <c r="F9">
        <v>29</v>
      </c>
      <c r="G9">
        <v>29</v>
      </c>
      <c r="H9">
        <v>0</v>
      </c>
      <c r="I9" s="1">
        <v>2918</v>
      </c>
      <c r="J9" s="2">
        <v>150740</v>
      </c>
      <c r="K9">
        <f t="shared" si="0"/>
        <v>841</v>
      </c>
    </row>
    <row r="10" spans="1:11" x14ac:dyDescent="0.3">
      <c r="A10" t="s">
        <v>24</v>
      </c>
      <c r="B10" t="s">
        <v>12</v>
      </c>
      <c r="C10" t="s">
        <v>21</v>
      </c>
      <c r="D10" t="s">
        <v>14</v>
      </c>
      <c r="E10" t="s">
        <v>15</v>
      </c>
      <c r="F10">
        <v>29</v>
      </c>
      <c r="G10">
        <v>29</v>
      </c>
      <c r="H10">
        <v>0</v>
      </c>
      <c r="I10" s="1">
        <v>2920</v>
      </c>
      <c r="J10" s="2">
        <v>150740</v>
      </c>
      <c r="K10">
        <f t="shared" si="0"/>
        <v>841</v>
      </c>
    </row>
    <row r="11" spans="1:11" x14ac:dyDescent="0.3">
      <c r="A11" t="s">
        <v>25</v>
      </c>
      <c r="B11" t="s">
        <v>12</v>
      </c>
      <c r="C11" t="s">
        <v>21</v>
      </c>
      <c r="D11" t="s">
        <v>14</v>
      </c>
      <c r="E11" t="s">
        <v>15</v>
      </c>
      <c r="F11">
        <v>29</v>
      </c>
      <c r="G11">
        <v>29</v>
      </c>
      <c r="H11">
        <v>0</v>
      </c>
      <c r="I11" s="1">
        <v>2920</v>
      </c>
      <c r="J11" s="2">
        <v>150740</v>
      </c>
      <c r="K11">
        <f t="shared" si="0"/>
        <v>841</v>
      </c>
    </row>
    <row r="12" spans="1:11" x14ac:dyDescent="0.3">
      <c r="A12" t="s">
        <v>26</v>
      </c>
      <c r="B12" t="s">
        <v>12</v>
      </c>
      <c r="C12" t="s">
        <v>27</v>
      </c>
      <c r="D12" t="s">
        <v>14</v>
      </c>
      <c r="E12" t="s">
        <v>15</v>
      </c>
      <c r="F12">
        <v>157</v>
      </c>
      <c r="G12">
        <v>152</v>
      </c>
      <c r="H12">
        <v>0</v>
      </c>
      <c r="I12" s="1">
        <v>15796</v>
      </c>
      <c r="J12" s="2">
        <v>118868</v>
      </c>
      <c r="K12">
        <f t="shared" si="0"/>
        <v>23864</v>
      </c>
    </row>
    <row r="13" spans="1:11" x14ac:dyDescent="0.3">
      <c r="A13" t="s">
        <v>28</v>
      </c>
      <c r="B13" t="s">
        <v>12</v>
      </c>
      <c r="C13" t="s">
        <v>27</v>
      </c>
      <c r="D13" t="s">
        <v>14</v>
      </c>
      <c r="E13" t="s">
        <v>15</v>
      </c>
      <c r="F13">
        <v>135</v>
      </c>
      <c r="G13">
        <v>132</v>
      </c>
      <c r="H13">
        <v>0</v>
      </c>
      <c r="I13" s="1">
        <v>13592</v>
      </c>
      <c r="J13" s="2">
        <v>121716</v>
      </c>
      <c r="K13">
        <f t="shared" si="0"/>
        <v>17820</v>
      </c>
    </row>
    <row r="14" spans="1:11" x14ac:dyDescent="0.3">
      <c r="A14" t="s">
        <v>29</v>
      </c>
      <c r="B14" t="s">
        <v>12</v>
      </c>
      <c r="C14" t="s">
        <v>27</v>
      </c>
      <c r="D14" t="s">
        <v>14</v>
      </c>
      <c r="E14" t="s">
        <v>30</v>
      </c>
      <c r="F14">
        <v>300</v>
      </c>
      <c r="G14">
        <v>290</v>
      </c>
      <c r="H14">
        <v>0</v>
      </c>
      <c r="I14" s="1">
        <v>30195</v>
      </c>
      <c r="J14" t="s">
        <v>31</v>
      </c>
      <c r="K14">
        <f t="shared" si="0"/>
        <v>130500</v>
      </c>
    </row>
    <row r="15" spans="1:11" x14ac:dyDescent="0.3">
      <c r="A15" t="s">
        <v>32</v>
      </c>
      <c r="B15" t="s">
        <v>12</v>
      </c>
      <c r="C15" t="s">
        <v>27</v>
      </c>
      <c r="D15" t="s">
        <v>14</v>
      </c>
      <c r="E15" t="s">
        <v>15</v>
      </c>
      <c r="F15">
        <v>127</v>
      </c>
      <c r="G15">
        <v>122</v>
      </c>
      <c r="H15">
        <v>0</v>
      </c>
      <c r="I15" s="1">
        <v>12786</v>
      </c>
      <c r="J15" s="2">
        <v>123239</v>
      </c>
      <c r="K15">
        <f t="shared" si="0"/>
        <v>15494</v>
      </c>
    </row>
    <row r="16" spans="1:11" x14ac:dyDescent="0.3">
      <c r="A16" t="s">
        <v>33</v>
      </c>
      <c r="B16" t="s">
        <v>12</v>
      </c>
      <c r="C16" t="s">
        <v>27</v>
      </c>
      <c r="D16" t="s">
        <v>14</v>
      </c>
      <c r="E16" t="s">
        <v>15</v>
      </c>
      <c r="F16">
        <v>101</v>
      </c>
      <c r="G16">
        <v>98</v>
      </c>
      <c r="H16">
        <v>0</v>
      </c>
      <c r="I16" s="1">
        <v>10161</v>
      </c>
      <c r="J16" s="2">
        <v>128887</v>
      </c>
      <c r="K16">
        <f t="shared" si="0"/>
        <v>9898</v>
      </c>
    </row>
    <row r="17" spans="1:11" x14ac:dyDescent="0.3">
      <c r="A17" t="s">
        <v>34</v>
      </c>
      <c r="B17" t="s">
        <v>12</v>
      </c>
      <c r="C17" t="s">
        <v>35</v>
      </c>
      <c r="D17" t="s">
        <v>14</v>
      </c>
      <c r="E17" t="s">
        <v>30</v>
      </c>
      <c r="F17">
        <v>300</v>
      </c>
      <c r="G17">
        <v>293</v>
      </c>
      <c r="H17">
        <v>1</v>
      </c>
      <c r="I17" s="1">
        <v>30270</v>
      </c>
      <c r="J17" t="s">
        <v>31</v>
      </c>
      <c r="K17">
        <f t="shared" si="0"/>
        <v>131851.79999999999</v>
      </c>
    </row>
    <row r="18" spans="1:11" x14ac:dyDescent="0.3">
      <c r="A18" t="s">
        <v>36</v>
      </c>
      <c r="B18" t="s">
        <v>12</v>
      </c>
      <c r="C18" t="s">
        <v>35</v>
      </c>
      <c r="D18" t="s">
        <v>14</v>
      </c>
      <c r="E18" t="s">
        <v>30</v>
      </c>
      <c r="F18">
        <v>300</v>
      </c>
      <c r="G18">
        <v>286</v>
      </c>
      <c r="H18">
        <v>1</v>
      </c>
      <c r="I18" s="1">
        <v>30290</v>
      </c>
      <c r="J18" t="s">
        <v>31</v>
      </c>
      <c r="K18">
        <f t="shared" si="0"/>
        <v>128701.79999999999</v>
      </c>
    </row>
    <row r="19" spans="1:11" x14ac:dyDescent="0.3">
      <c r="A19" t="s">
        <v>37</v>
      </c>
      <c r="B19" t="s">
        <v>12</v>
      </c>
      <c r="C19" t="s">
        <v>35</v>
      </c>
      <c r="D19" t="s">
        <v>14</v>
      </c>
      <c r="E19" t="s">
        <v>30</v>
      </c>
      <c r="F19">
        <v>300</v>
      </c>
      <c r="G19">
        <v>288</v>
      </c>
      <c r="H19">
        <v>0</v>
      </c>
      <c r="I19" s="1">
        <v>30189</v>
      </c>
      <c r="J19" t="s">
        <v>38</v>
      </c>
      <c r="K19">
        <f t="shared" si="0"/>
        <v>129600</v>
      </c>
    </row>
    <row r="20" spans="1:11" x14ac:dyDescent="0.3">
      <c r="A20" t="s">
        <v>39</v>
      </c>
      <c r="B20" t="s">
        <v>12</v>
      </c>
      <c r="C20" t="s">
        <v>35</v>
      </c>
      <c r="D20" t="s">
        <v>14</v>
      </c>
      <c r="E20" t="s">
        <v>30</v>
      </c>
      <c r="F20">
        <v>300</v>
      </c>
      <c r="G20">
        <v>282</v>
      </c>
      <c r="H20">
        <v>1</v>
      </c>
      <c r="I20" s="1">
        <v>30286</v>
      </c>
      <c r="J20" t="s">
        <v>31</v>
      </c>
      <c r="K20">
        <f t="shared" si="0"/>
        <v>126901.79999999999</v>
      </c>
    </row>
    <row r="21" spans="1:11" x14ac:dyDescent="0.3">
      <c r="A21" t="s">
        <v>40</v>
      </c>
      <c r="B21" t="s">
        <v>12</v>
      </c>
      <c r="C21" t="s">
        <v>35</v>
      </c>
      <c r="D21" t="s">
        <v>14</v>
      </c>
      <c r="E21" t="s">
        <v>30</v>
      </c>
      <c r="F21">
        <v>300</v>
      </c>
      <c r="G21">
        <v>289</v>
      </c>
      <c r="H21">
        <v>0</v>
      </c>
      <c r="I21" s="1">
        <v>30192</v>
      </c>
      <c r="J21" t="s">
        <v>31</v>
      </c>
      <c r="K21">
        <f t="shared" si="0"/>
        <v>130050</v>
      </c>
    </row>
    <row r="22" spans="1:11" x14ac:dyDescent="0.3">
      <c r="A22" t="s">
        <v>41</v>
      </c>
      <c r="B22" t="s">
        <v>12</v>
      </c>
      <c r="C22" t="s">
        <v>42</v>
      </c>
      <c r="D22" t="s">
        <v>14</v>
      </c>
      <c r="E22" t="s">
        <v>15</v>
      </c>
      <c r="F22">
        <v>48</v>
      </c>
      <c r="G22">
        <v>48</v>
      </c>
      <c r="H22">
        <v>0</v>
      </c>
      <c r="I22" s="1">
        <v>4836</v>
      </c>
      <c r="J22" s="2">
        <v>150740</v>
      </c>
      <c r="K22">
        <f t="shared" si="0"/>
        <v>2304</v>
      </c>
    </row>
    <row r="23" spans="1:11" x14ac:dyDescent="0.3">
      <c r="A23" t="s">
        <v>43</v>
      </c>
      <c r="B23" t="s">
        <v>12</v>
      </c>
      <c r="C23" t="s">
        <v>42</v>
      </c>
      <c r="D23" t="s">
        <v>14</v>
      </c>
      <c r="E23" t="s">
        <v>15</v>
      </c>
      <c r="F23">
        <v>41</v>
      </c>
      <c r="G23">
        <v>41</v>
      </c>
      <c r="H23">
        <v>0</v>
      </c>
      <c r="I23" s="1">
        <v>4129</v>
      </c>
      <c r="J23" s="2">
        <v>150740</v>
      </c>
      <c r="K23">
        <f t="shared" si="0"/>
        <v>1681</v>
      </c>
    </row>
    <row r="24" spans="1:11" x14ac:dyDescent="0.3">
      <c r="A24" t="s">
        <v>44</v>
      </c>
      <c r="B24" t="s">
        <v>12</v>
      </c>
      <c r="C24" t="s">
        <v>42</v>
      </c>
      <c r="D24" t="s">
        <v>14</v>
      </c>
      <c r="E24" t="s">
        <v>15</v>
      </c>
      <c r="F24">
        <v>33</v>
      </c>
      <c r="G24">
        <v>33</v>
      </c>
      <c r="H24">
        <v>0</v>
      </c>
      <c r="I24" s="1">
        <v>3324</v>
      </c>
      <c r="J24" s="2">
        <v>150740</v>
      </c>
      <c r="K24">
        <f t="shared" si="0"/>
        <v>1089</v>
      </c>
    </row>
    <row r="25" spans="1:11" x14ac:dyDescent="0.3">
      <c r="A25" t="s">
        <v>45</v>
      </c>
      <c r="B25" t="s">
        <v>12</v>
      </c>
      <c r="C25" t="s">
        <v>42</v>
      </c>
      <c r="D25" t="s">
        <v>14</v>
      </c>
      <c r="E25" t="s">
        <v>15</v>
      </c>
      <c r="F25">
        <v>31</v>
      </c>
      <c r="G25">
        <v>31</v>
      </c>
      <c r="H25">
        <v>0</v>
      </c>
      <c r="I25" s="1">
        <v>3123</v>
      </c>
      <c r="J25" s="2">
        <v>150740</v>
      </c>
      <c r="K25">
        <f t="shared" si="0"/>
        <v>961</v>
      </c>
    </row>
    <row r="26" spans="1:11" x14ac:dyDescent="0.3">
      <c r="A26" t="s">
        <v>46</v>
      </c>
      <c r="B26" t="s">
        <v>12</v>
      </c>
      <c r="C26" t="s">
        <v>42</v>
      </c>
      <c r="D26" t="s">
        <v>14</v>
      </c>
      <c r="E26" t="s">
        <v>15</v>
      </c>
      <c r="F26">
        <v>25</v>
      </c>
      <c r="G26">
        <v>25</v>
      </c>
      <c r="H26">
        <v>0</v>
      </c>
      <c r="I26" s="1">
        <v>2515</v>
      </c>
      <c r="J26" s="2">
        <v>150740</v>
      </c>
      <c r="K26">
        <f t="shared" si="0"/>
        <v>625</v>
      </c>
    </row>
    <row r="27" spans="1:11" x14ac:dyDescent="0.3">
      <c r="A27" t="s">
        <v>47</v>
      </c>
      <c r="B27" t="s">
        <v>12</v>
      </c>
      <c r="C27" t="s">
        <v>13</v>
      </c>
      <c r="D27" t="s">
        <v>48</v>
      </c>
      <c r="E27" t="s">
        <v>15</v>
      </c>
      <c r="F27">
        <v>38</v>
      </c>
      <c r="G27">
        <v>38</v>
      </c>
      <c r="H27">
        <v>0</v>
      </c>
      <c r="I27" s="1">
        <v>3823</v>
      </c>
      <c r="J27" s="2">
        <v>150740</v>
      </c>
      <c r="K27">
        <f t="shared" si="0"/>
        <v>1444</v>
      </c>
    </row>
    <row r="28" spans="1:11" x14ac:dyDescent="0.3">
      <c r="A28" t="s">
        <v>49</v>
      </c>
      <c r="B28" t="s">
        <v>12</v>
      </c>
      <c r="C28" t="s">
        <v>13</v>
      </c>
      <c r="D28" t="s">
        <v>48</v>
      </c>
      <c r="E28" t="s">
        <v>15</v>
      </c>
      <c r="F28">
        <v>29</v>
      </c>
      <c r="G28">
        <v>29</v>
      </c>
      <c r="H28">
        <v>0</v>
      </c>
      <c r="I28" s="1">
        <v>2921</v>
      </c>
      <c r="J28" s="2">
        <v>150740</v>
      </c>
      <c r="K28">
        <f t="shared" si="0"/>
        <v>841</v>
      </c>
    </row>
    <row r="29" spans="1:11" x14ac:dyDescent="0.3">
      <c r="A29" t="s">
        <v>50</v>
      </c>
      <c r="B29" t="s">
        <v>12</v>
      </c>
      <c r="C29" t="s">
        <v>13</v>
      </c>
      <c r="D29" t="s">
        <v>48</v>
      </c>
      <c r="E29" t="s">
        <v>15</v>
      </c>
      <c r="F29">
        <v>25</v>
      </c>
      <c r="G29">
        <v>25</v>
      </c>
      <c r="H29">
        <v>0</v>
      </c>
      <c r="I29" s="1">
        <v>2518</v>
      </c>
      <c r="J29" s="2">
        <v>150740</v>
      </c>
      <c r="K29">
        <f t="shared" si="0"/>
        <v>625</v>
      </c>
    </row>
    <row r="30" spans="1:11" x14ac:dyDescent="0.3">
      <c r="A30" t="s">
        <v>51</v>
      </c>
      <c r="B30" t="s">
        <v>12</v>
      </c>
      <c r="C30" t="s">
        <v>13</v>
      </c>
      <c r="D30" t="s">
        <v>48</v>
      </c>
      <c r="E30" t="s">
        <v>15</v>
      </c>
      <c r="F30">
        <v>24</v>
      </c>
      <c r="G30">
        <v>24</v>
      </c>
      <c r="H30">
        <v>0</v>
      </c>
      <c r="I30" s="1">
        <v>2417</v>
      </c>
      <c r="J30" s="2">
        <v>150740</v>
      </c>
      <c r="K30">
        <f t="shared" si="0"/>
        <v>576</v>
      </c>
    </row>
    <row r="31" spans="1:11" x14ac:dyDescent="0.3">
      <c r="A31" t="s">
        <v>52</v>
      </c>
      <c r="B31" t="s">
        <v>12</v>
      </c>
      <c r="C31" t="s">
        <v>13</v>
      </c>
      <c r="D31" t="s">
        <v>48</v>
      </c>
      <c r="E31" t="s">
        <v>15</v>
      </c>
      <c r="F31">
        <v>23</v>
      </c>
      <c r="G31">
        <v>23</v>
      </c>
      <c r="H31">
        <v>0</v>
      </c>
      <c r="I31" s="1">
        <v>2316</v>
      </c>
      <c r="J31" s="2">
        <v>150740</v>
      </c>
      <c r="K31">
        <f t="shared" si="0"/>
        <v>529</v>
      </c>
    </row>
    <row r="32" spans="1:11" x14ac:dyDescent="0.3">
      <c r="A32" t="s">
        <v>53</v>
      </c>
      <c r="B32" t="s">
        <v>12</v>
      </c>
      <c r="C32" t="s">
        <v>21</v>
      </c>
      <c r="D32" t="s">
        <v>48</v>
      </c>
      <c r="E32" t="s">
        <v>15</v>
      </c>
      <c r="F32">
        <v>43</v>
      </c>
      <c r="G32">
        <v>43</v>
      </c>
      <c r="H32">
        <v>0</v>
      </c>
      <c r="I32" s="1">
        <v>4326</v>
      </c>
      <c r="J32" s="2">
        <v>150740</v>
      </c>
      <c r="K32">
        <f t="shared" si="0"/>
        <v>1849</v>
      </c>
    </row>
    <row r="33" spans="1:11" x14ac:dyDescent="0.3">
      <c r="A33" t="s">
        <v>54</v>
      </c>
      <c r="B33" t="s">
        <v>12</v>
      </c>
      <c r="C33" t="s">
        <v>21</v>
      </c>
      <c r="D33" t="s">
        <v>48</v>
      </c>
      <c r="E33" t="s">
        <v>15</v>
      </c>
      <c r="F33">
        <v>37</v>
      </c>
      <c r="G33">
        <v>37</v>
      </c>
      <c r="H33">
        <v>0</v>
      </c>
      <c r="I33" s="1">
        <v>3725</v>
      </c>
      <c r="J33" s="2">
        <v>150740</v>
      </c>
      <c r="K33">
        <f t="shared" si="0"/>
        <v>1369</v>
      </c>
    </row>
    <row r="34" spans="1:11" x14ac:dyDescent="0.3">
      <c r="A34" t="s">
        <v>55</v>
      </c>
      <c r="B34" t="s">
        <v>12</v>
      </c>
      <c r="C34" t="s">
        <v>21</v>
      </c>
      <c r="D34" t="s">
        <v>48</v>
      </c>
      <c r="E34" t="s">
        <v>15</v>
      </c>
      <c r="F34">
        <v>31</v>
      </c>
      <c r="G34">
        <v>31</v>
      </c>
      <c r="H34">
        <v>0</v>
      </c>
      <c r="I34" s="1">
        <v>3123</v>
      </c>
      <c r="J34" s="2">
        <v>150740</v>
      </c>
      <c r="K34">
        <f t="shared" si="0"/>
        <v>961</v>
      </c>
    </row>
    <row r="35" spans="1:11" x14ac:dyDescent="0.3">
      <c r="A35" t="s">
        <v>56</v>
      </c>
      <c r="B35" t="s">
        <v>12</v>
      </c>
      <c r="C35" t="s">
        <v>21</v>
      </c>
      <c r="D35" t="s">
        <v>48</v>
      </c>
      <c r="E35" t="s">
        <v>15</v>
      </c>
      <c r="F35">
        <v>25</v>
      </c>
      <c r="G35">
        <v>25</v>
      </c>
      <c r="H35">
        <v>0</v>
      </c>
      <c r="I35" s="1">
        <v>2521</v>
      </c>
      <c r="J35" s="2">
        <v>150740</v>
      </c>
      <c r="K35">
        <f t="shared" si="0"/>
        <v>625</v>
      </c>
    </row>
    <row r="36" spans="1:11" x14ac:dyDescent="0.3">
      <c r="A36" t="s">
        <v>57</v>
      </c>
      <c r="B36" t="s">
        <v>12</v>
      </c>
      <c r="C36" t="s">
        <v>21</v>
      </c>
      <c r="D36" t="s">
        <v>48</v>
      </c>
      <c r="E36" t="s">
        <v>15</v>
      </c>
      <c r="F36">
        <v>26</v>
      </c>
      <c r="G36">
        <v>26</v>
      </c>
      <c r="H36">
        <v>0</v>
      </c>
      <c r="I36" s="1">
        <v>2618</v>
      </c>
      <c r="J36" s="2">
        <v>150740</v>
      </c>
      <c r="K36">
        <f t="shared" si="0"/>
        <v>676</v>
      </c>
    </row>
    <row r="37" spans="1:11" x14ac:dyDescent="0.3">
      <c r="A37" t="s">
        <v>58</v>
      </c>
      <c r="B37" t="s">
        <v>12</v>
      </c>
      <c r="C37" t="s">
        <v>27</v>
      </c>
      <c r="D37" t="s">
        <v>48</v>
      </c>
      <c r="E37" t="s">
        <v>15</v>
      </c>
      <c r="F37">
        <v>110</v>
      </c>
      <c r="G37">
        <v>105</v>
      </c>
      <c r="H37">
        <v>0</v>
      </c>
      <c r="I37" s="1">
        <v>11078</v>
      </c>
      <c r="J37" s="2">
        <v>126801</v>
      </c>
      <c r="K37">
        <f t="shared" si="0"/>
        <v>11550</v>
      </c>
    </row>
    <row r="38" spans="1:11" x14ac:dyDescent="0.3">
      <c r="A38" t="s">
        <v>59</v>
      </c>
      <c r="B38" t="s">
        <v>12</v>
      </c>
      <c r="C38" t="s">
        <v>27</v>
      </c>
      <c r="D38" t="s">
        <v>48</v>
      </c>
      <c r="E38" t="s">
        <v>15</v>
      </c>
      <c r="F38">
        <v>104</v>
      </c>
      <c r="G38">
        <v>99</v>
      </c>
      <c r="H38">
        <v>0</v>
      </c>
      <c r="I38" s="1">
        <v>10467</v>
      </c>
      <c r="J38" s="2">
        <v>128343</v>
      </c>
      <c r="K38">
        <f t="shared" si="0"/>
        <v>10296</v>
      </c>
    </row>
    <row r="39" spans="1:11" x14ac:dyDescent="0.3">
      <c r="A39" t="s">
        <v>60</v>
      </c>
      <c r="B39" t="s">
        <v>12</v>
      </c>
      <c r="C39" t="s">
        <v>27</v>
      </c>
      <c r="D39" t="s">
        <v>48</v>
      </c>
      <c r="E39" t="s">
        <v>15</v>
      </c>
      <c r="F39">
        <v>100</v>
      </c>
      <c r="G39">
        <v>95</v>
      </c>
      <c r="H39">
        <v>0</v>
      </c>
      <c r="I39" s="1">
        <v>10068</v>
      </c>
      <c r="J39" s="2">
        <v>129477</v>
      </c>
      <c r="K39">
        <f t="shared" si="0"/>
        <v>9500</v>
      </c>
    </row>
    <row r="40" spans="1:11" x14ac:dyDescent="0.3">
      <c r="A40" t="s">
        <v>61</v>
      </c>
      <c r="B40" t="s">
        <v>12</v>
      </c>
      <c r="C40" t="s">
        <v>27</v>
      </c>
      <c r="D40" t="s">
        <v>48</v>
      </c>
      <c r="E40" t="s">
        <v>15</v>
      </c>
      <c r="F40">
        <v>71</v>
      </c>
      <c r="G40">
        <v>66</v>
      </c>
      <c r="H40">
        <v>0</v>
      </c>
      <c r="I40" s="1">
        <v>7149</v>
      </c>
      <c r="J40" s="2">
        <v>141670</v>
      </c>
      <c r="K40">
        <f t="shared" si="0"/>
        <v>4686</v>
      </c>
    </row>
    <row r="41" spans="1:11" x14ac:dyDescent="0.3">
      <c r="A41" t="s">
        <v>62</v>
      </c>
      <c r="B41" t="s">
        <v>12</v>
      </c>
      <c r="C41" t="s">
        <v>27</v>
      </c>
      <c r="D41" t="s">
        <v>48</v>
      </c>
      <c r="E41" t="s">
        <v>15</v>
      </c>
      <c r="F41">
        <v>79</v>
      </c>
      <c r="G41">
        <v>76</v>
      </c>
      <c r="H41">
        <v>0</v>
      </c>
      <c r="I41" s="1">
        <v>7956</v>
      </c>
      <c r="J41" s="2">
        <v>136883</v>
      </c>
      <c r="K41">
        <f t="shared" si="0"/>
        <v>6004</v>
      </c>
    </row>
    <row r="42" spans="1:11" x14ac:dyDescent="0.3">
      <c r="A42" t="s">
        <v>63</v>
      </c>
      <c r="B42" t="s">
        <v>12</v>
      </c>
      <c r="C42" t="s">
        <v>35</v>
      </c>
      <c r="D42" t="s">
        <v>48</v>
      </c>
      <c r="E42" t="s">
        <v>30</v>
      </c>
      <c r="F42">
        <v>300</v>
      </c>
      <c r="G42">
        <v>287</v>
      </c>
      <c r="H42">
        <v>0</v>
      </c>
      <c r="I42" s="1">
        <v>30189</v>
      </c>
      <c r="J42" t="s">
        <v>31</v>
      </c>
      <c r="K42">
        <f t="shared" si="0"/>
        <v>129150</v>
      </c>
    </row>
    <row r="43" spans="1:11" x14ac:dyDescent="0.3">
      <c r="A43" t="s">
        <v>64</v>
      </c>
      <c r="B43" t="s">
        <v>12</v>
      </c>
      <c r="C43" t="s">
        <v>35</v>
      </c>
      <c r="D43" t="s">
        <v>48</v>
      </c>
      <c r="E43" t="s">
        <v>15</v>
      </c>
      <c r="F43">
        <v>102</v>
      </c>
      <c r="G43">
        <v>100</v>
      </c>
      <c r="H43">
        <v>0</v>
      </c>
      <c r="I43" s="1">
        <v>10276</v>
      </c>
      <c r="J43" s="2">
        <v>128465</v>
      </c>
      <c r="K43">
        <f t="shared" si="0"/>
        <v>10200</v>
      </c>
    </row>
    <row r="44" spans="1:11" x14ac:dyDescent="0.3">
      <c r="A44" t="s">
        <v>65</v>
      </c>
      <c r="B44" t="s">
        <v>12</v>
      </c>
      <c r="C44" t="s">
        <v>35</v>
      </c>
      <c r="D44" t="s">
        <v>48</v>
      </c>
      <c r="E44" t="s">
        <v>30</v>
      </c>
      <c r="F44">
        <v>300</v>
      </c>
      <c r="G44">
        <v>278</v>
      </c>
      <c r="H44">
        <v>0</v>
      </c>
      <c r="I44" s="1">
        <v>30174</v>
      </c>
      <c r="J44" t="s">
        <v>31</v>
      </c>
      <c r="K44">
        <f t="shared" si="0"/>
        <v>125100</v>
      </c>
    </row>
    <row r="45" spans="1:11" x14ac:dyDescent="0.3">
      <c r="A45" t="s">
        <v>66</v>
      </c>
      <c r="B45" t="s">
        <v>12</v>
      </c>
      <c r="C45" t="s">
        <v>35</v>
      </c>
      <c r="D45" t="s">
        <v>48</v>
      </c>
      <c r="E45" t="s">
        <v>15</v>
      </c>
      <c r="F45">
        <v>83</v>
      </c>
      <c r="G45">
        <v>81</v>
      </c>
      <c r="H45">
        <v>0</v>
      </c>
      <c r="I45" s="1">
        <v>8361</v>
      </c>
      <c r="J45" s="2">
        <v>134891</v>
      </c>
      <c r="K45">
        <f t="shared" si="0"/>
        <v>6723</v>
      </c>
    </row>
    <row r="46" spans="1:11" x14ac:dyDescent="0.3">
      <c r="A46" t="s">
        <v>67</v>
      </c>
      <c r="B46" t="s">
        <v>12</v>
      </c>
      <c r="C46" t="s">
        <v>35</v>
      </c>
      <c r="D46" t="s">
        <v>48</v>
      </c>
      <c r="E46" t="s">
        <v>15</v>
      </c>
      <c r="F46">
        <v>108</v>
      </c>
      <c r="G46">
        <v>103</v>
      </c>
      <c r="H46">
        <v>0</v>
      </c>
      <c r="I46" s="1">
        <v>10871</v>
      </c>
      <c r="J46" s="2">
        <v>127295</v>
      </c>
      <c r="K46">
        <f t="shared" si="0"/>
        <v>11124</v>
      </c>
    </row>
    <row r="47" spans="1:11" x14ac:dyDescent="0.3">
      <c r="A47" t="s">
        <v>68</v>
      </c>
      <c r="B47" t="s">
        <v>12</v>
      </c>
      <c r="C47" t="s">
        <v>42</v>
      </c>
      <c r="D47" t="s">
        <v>48</v>
      </c>
      <c r="E47" t="s">
        <v>15</v>
      </c>
      <c r="F47">
        <v>66</v>
      </c>
      <c r="G47">
        <v>65</v>
      </c>
      <c r="H47">
        <v>0</v>
      </c>
      <c r="I47" s="1">
        <v>6645</v>
      </c>
      <c r="J47" s="2">
        <v>143491</v>
      </c>
      <c r="K47">
        <f t="shared" si="0"/>
        <v>4290</v>
      </c>
    </row>
    <row r="48" spans="1:11" x14ac:dyDescent="0.3">
      <c r="A48" t="s">
        <v>69</v>
      </c>
      <c r="B48" t="s">
        <v>12</v>
      </c>
      <c r="C48" t="s">
        <v>42</v>
      </c>
      <c r="D48" t="s">
        <v>48</v>
      </c>
      <c r="E48" t="s">
        <v>15</v>
      </c>
      <c r="F48">
        <v>25</v>
      </c>
      <c r="G48">
        <v>25</v>
      </c>
      <c r="H48">
        <v>0</v>
      </c>
      <c r="I48" s="1">
        <v>2518</v>
      </c>
      <c r="J48" s="2">
        <v>150740</v>
      </c>
      <c r="K48">
        <f t="shared" si="0"/>
        <v>625</v>
      </c>
    </row>
    <row r="49" spans="1:11" x14ac:dyDescent="0.3">
      <c r="A49" t="s">
        <v>70</v>
      </c>
      <c r="B49" t="s">
        <v>12</v>
      </c>
      <c r="C49" t="s">
        <v>42</v>
      </c>
      <c r="D49" t="s">
        <v>48</v>
      </c>
      <c r="E49" t="s">
        <v>15</v>
      </c>
      <c r="F49">
        <v>27</v>
      </c>
      <c r="G49">
        <v>27</v>
      </c>
      <c r="H49">
        <v>0</v>
      </c>
      <c r="I49" s="1">
        <v>2714</v>
      </c>
      <c r="J49" s="2">
        <v>150740</v>
      </c>
      <c r="K49">
        <f t="shared" si="0"/>
        <v>729</v>
      </c>
    </row>
    <row r="50" spans="1:11" x14ac:dyDescent="0.3">
      <c r="A50" t="s">
        <v>71</v>
      </c>
      <c r="B50" t="s">
        <v>12</v>
      </c>
      <c r="C50" t="s">
        <v>42</v>
      </c>
      <c r="D50" t="s">
        <v>48</v>
      </c>
      <c r="E50" t="s">
        <v>15</v>
      </c>
      <c r="F50">
        <v>62</v>
      </c>
      <c r="G50">
        <v>61</v>
      </c>
      <c r="H50">
        <v>0</v>
      </c>
      <c r="I50" s="1">
        <v>6237</v>
      </c>
      <c r="J50" s="2">
        <v>146271</v>
      </c>
      <c r="K50">
        <f t="shared" si="0"/>
        <v>3782</v>
      </c>
    </row>
    <row r="51" spans="1:11" x14ac:dyDescent="0.3">
      <c r="A51" t="s">
        <v>72</v>
      </c>
      <c r="B51" t="s">
        <v>12</v>
      </c>
      <c r="C51" t="s">
        <v>42</v>
      </c>
      <c r="D51" t="s">
        <v>48</v>
      </c>
      <c r="E51" t="s">
        <v>15</v>
      </c>
      <c r="F51">
        <v>80</v>
      </c>
      <c r="G51">
        <v>60</v>
      </c>
      <c r="H51">
        <v>0</v>
      </c>
      <c r="I51" s="1">
        <v>8056</v>
      </c>
      <c r="J51" s="2">
        <v>141573</v>
      </c>
      <c r="K51">
        <f t="shared" si="0"/>
        <v>4800</v>
      </c>
    </row>
    <row r="52" spans="1:11" x14ac:dyDescent="0.3">
      <c r="A52" t="s">
        <v>73</v>
      </c>
      <c r="B52" t="s">
        <v>12</v>
      </c>
      <c r="C52" t="s">
        <v>13</v>
      </c>
      <c r="D52" t="s">
        <v>74</v>
      </c>
      <c r="E52" t="s">
        <v>15</v>
      </c>
      <c r="F52">
        <v>30</v>
      </c>
      <c r="G52">
        <v>30</v>
      </c>
      <c r="H52">
        <v>0</v>
      </c>
      <c r="I52" s="1">
        <v>3018</v>
      </c>
      <c r="J52" s="2">
        <v>150740</v>
      </c>
      <c r="K52">
        <f t="shared" si="0"/>
        <v>900</v>
      </c>
    </row>
    <row r="53" spans="1:11" x14ac:dyDescent="0.3">
      <c r="A53" t="s">
        <v>75</v>
      </c>
      <c r="B53" t="s">
        <v>12</v>
      </c>
      <c r="C53" t="s">
        <v>13</v>
      </c>
      <c r="D53" t="s">
        <v>74</v>
      </c>
      <c r="E53" t="s">
        <v>15</v>
      </c>
      <c r="F53">
        <v>17</v>
      </c>
      <c r="G53">
        <v>17</v>
      </c>
      <c r="H53">
        <v>0</v>
      </c>
      <c r="I53" s="1">
        <v>1710</v>
      </c>
      <c r="J53" s="2">
        <v>150740</v>
      </c>
      <c r="K53">
        <f t="shared" si="0"/>
        <v>289</v>
      </c>
    </row>
    <row r="54" spans="1:11" x14ac:dyDescent="0.3">
      <c r="A54" t="s">
        <v>76</v>
      </c>
      <c r="B54" t="s">
        <v>12</v>
      </c>
      <c r="C54" t="s">
        <v>13</v>
      </c>
      <c r="D54" t="s">
        <v>74</v>
      </c>
      <c r="E54" t="s">
        <v>15</v>
      </c>
      <c r="F54">
        <v>15</v>
      </c>
      <c r="G54">
        <v>15</v>
      </c>
      <c r="H54">
        <v>0</v>
      </c>
      <c r="I54" s="1">
        <v>1511</v>
      </c>
      <c r="J54" s="2">
        <v>150740</v>
      </c>
      <c r="K54">
        <f t="shared" si="0"/>
        <v>225</v>
      </c>
    </row>
    <row r="55" spans="1:11" x14ac:dyDescent="0.3">
      <c r="A55" t="s">
        <v>77</v>
      </c>
      <c r="B55" t="s">
        <v>12</v>
      </c>
      <c r="C55" t="s">
        <v>13</v>
      </c>
      <c r="D55" t="s">
        <v>74</v>
      </c>
      <c r="E55" t="s">
        <v>15</v>
      </c>
      <c r="F55">
        <v>15</v>
      </c>
      <c r="G55">
        <v>15</v>
      </c>
      <c r="H55">
        <v>0</v>
      </c>
      <c r="I55" s="1">
        <v>1513</v>
      </c>
      <c r="J55" s="2">
        <v>150740</v>
      </c>
      <c r="K55">
        <f t="shared" si="0"/>
        <v>225</v>
      </c>
    </row>
    <row r="56" spans="1:11" x14ac:dyDescent="0.3">
      <c r="A56" t="s">
        <v>78</v>
      </c>
      <c r="B56" t="s">
        <v>12</v>
      </c>
      <c r="C56" t="s">
        <v>13</v>
      </c>
      <c r="D56" t="s">
        <v>74</v>
      </c>
      <c r="E56" t="s">
        <v>15</v>
      </c>
      <c r="F56">
        <v>16</v>
      </c>
      <c r="G56">
        <v>16</v>
      </c>
      <c r="H56">
        <v>0</v>
      </c>
      <c r="I56" s="1">
        <v>1610</v>
      </c>
      <c r="J56" s="2">
        <v>150740</v>
      </c>
      <c r="K56">
        <f t="shared" si="0"/>
        <v>256</v>
      </c>
    </row>
    <row r="57" spans="1:11" x14ac:dyDescent="0.3">
      <c r="A57" t="s">
        <v>79</v>
      </c>
      <c r="B57" t="s">
        <v>12</v>
      </c>
      <c r="C57" t="s">
        <v>21</v>
      </c>
      <c r="D57" t="s">
        <v>74</v>
      </c>
      <c r="E57" t="s">
        <v>15</v>
      </c>
      <c r="F57">
        <v>114</v>
      </c>
      <c r="G57">
        <v>105</v>
      </c>
      <c r="H57">
        <v>0</v>
      </c>
      <c r="I57" s="1">
        <v>11471</v>
      </c>
      <c r="J57" s="2">
        <v>126354</v>
      </c>
      <c r="K57">
        <f t="shared" si="0"/>
        <v>11970</v>
      </c>
    </row>
    <row r="58" spans="1:11" x14ac:dyDescent="0.3">
      <c r="A58" t="s">
        <v>80</v>
      </c>
      <c r="B58" t="s">
        <v>12</v>
      </c>
      <c r="C58" t="s">
        <v>21</v>
      </c>
      <c r="D58" t="s">
        <v>74</v>
      </c>
      <c r="E58" t="s">
        <v>15</v>
      </c>
      <c r="F58">
        <v>18</v>
      </c>
      <c r="G58">
        <v>18</v>
      </c>
      <c r="H58">
        <v>0</v>
      </c>
      <c r="I58" s="1">
        <v>1814</v>
      </c>
      <c r="J58" s="2">
        <v>150740</v>
      </c>
      <c r="K58">
        <f t="shared" si="0"/>
        <v>324</v>
      </c>
    </row>
    <row r="59" spans="1:11" x14ac:dyDescent="0.3">
      <c r="A59" t="s">
        <v>81</v>
      </c>
      <c r="B59" t="s">
        <v>12</v>
      </c>
      <c r="C59" t="s">
        <v>21</v>
      </c>
      <c r="D59" t="s">
        <v>74</v>
      </c>
      <c r="E59" t="s">
        <v>15</v>
      </c>
      <c r="F59">
        <v>16</v>
      </c>
      <c r="G59">
        <v>16</v>
      </c>
      <c r="H59">
        <v>0</v>
      </c>
      <c r="I59" s="1">
        <v>1613</v>
      </c>
      <c r="J59" s="2">
        <v>150740</v>
      </c>
      <c r="K59">
        <f t="shared" si="0"/>
        <v>256</v>
      </c>
    </row>
    <row r="60" spans="1:11" x14ac:dyDescent="0.3">
      <c r="A60" t="s">
        <v>82</v>
      </c>
      <c r="B60" t="s">
        <v>12</v>
      </c>
      <c r="C60" t="s">
        <v>21</v>
      </c>
      <c r="D60" t="s">
        <v>74</v>
      </c>
      <c r="E60" t="s">
        <v>15</v>
      </c>
      <c r="F60">
        <v>15</v>
      </c>
      <c r="G60">
        <v>15</v>
      </c>
      <c r="H60">
        <v>0</v>
      </c>
      <c r="I60" s="1">
        <v>1509</v>
      </c>
      <c r="J60" s="2">
        <v>150740</v>
      </c>
      <c r="K60">
        <f t="shared" si="0"/>
        <v>225</v>
      </c>
    </row>
    <row r="61" spans="1:11" x14ac:dyDescent="0.3">
      <c r="A61" t="s">
        <v>83</v>
      </c>
      <c r="B61" t="s">
        <v>12</v>
      </c>
      <c r="C61" t="s">
        <v>21</v>
      </c>
      <c r="D61" t="s">
        <v>74</v>
      </c>
      <c r="E61" t="s">
        <v>15</v>
      </c>
      <c r="F61">
        <v>16</v>
      </c>
      <c r="G61">
        <v>16</v>
      </c>
      <c r="H61">
        <v>0</v>
      </c>
      <c r="I61" s="1">
        <v>1610</v>
      </c>
      <c r="J61" s="2">
        <v>150740</v>
      </c>
      <c r="K61">
        <f t="shared" si="0"/>
        <v>256</v>
      </c>
    </row>
    <row r="62" spans="1:11" x14ac:dyDescent="0.3">
      <c r="A62" t="s">
        <v>84</v>
      </c>
      <c r="B62" t="s">
        <v>12</v>
      </c>
      <c r="C62" t="s">
        <v>27</v>
      </c>
      <c r="D62" t="s">
        <v>74</v>
      </c>
      <c r="E62" t="s">
        <v>15</v>
      </c>
      <c r="F62">
        <v>69</v>
      </c>
      <c r="G62">
        <v>66</v>
      </c>
      <c r="H62">
        <v>0</v>
      </c>
      <c r="I62" s="1">
        <v>6954</v>
      </c>
      <c r="J62" s="2">
        <v>142242</v>
      </c>
      <c r="K62">
        <f t="shared" si="0"/>
        <v>4554</v>
      </c>
    </row>
    <row r="63" spans="1:11" x14ac:dyDescent="0.3">
      <c r="A63" t="s">
        <v>85</v>
      </c>
      <c r="B63" t="s">
        <v>12</v>
      </c>
      <c r="C63" t="s">
        <v>27</v>
      </c>
      <c r="D63" t="s">
        <v>74</v>
      </c>
      <c r="E63" t="s">
        <v>15</v>
      </c>
      <c r="F63">
        <v>79</v>
      </c>
      <c r="G63">
        <v>76</v>
      </c>
      <c r="H63">
        <v>0</v>
      </c>
      <c r="I63" s="1">
        <v>7952</v>
      </c>
      <c r="J63" s="2">
        <v>136883</v>
      </c>
      <c r="K63">
        <f t="shared" si="0"/>
        <v>6004</v>
      </c>
    </row>
    <row r="64" spans="1:11" x14ac:dyDescent="0.3">
      <c r="A64" t="s">
        <v>86</v>
      </c>
      <c r="B64" t="s">
        <v>12</v>
      </c>
      <c r="C64" t="s">
        <v>27</v>
      </c>
      <c r="D64" t="s">
        <v>74</v>
      </c>
      <c r="E64" t="s">
        <v>15</v>
      </c>
      <c r="F64">
        <v>69</v>
      </c>
      <c r="G64">
        <v>65</v>
      </c>
      <c r="H64">
        <v>0</v>
      </c>
      <c r="I64" s="1">
        <v>6947</v>
      </c>
      <c r="J64" s="2">
        <v>142568</v>
      </c>
      <c r="K64">
        <f t="shared" si="0"/>
        <v>4485</v>
      </c>
    </row>
    <row r="65" spans="1:11" x14ac:dyDescent="0.3">
      <c r="A65" t="s">
        <v>87</v>
      </c>
      <c r="B65" t="s">
        <v>12</v>
      </c>
      <c r="C65" t="s">
        <v>27</v>
      </c>
      <c r="D65" t="s">
        <v>74</v>
      </c>
      <c r="E65" t="s">
        <v>15</v>
      </c>
      <c r="F65">
        <v>54</v>
      </c>
      <c r="G65">
        <v>46</v>
      </c>
      <c r="H65">
        <v>0</v>
      </c>
      <c r="I65" s="1">
        <v>5439</v>
      </c>
      <c r="J65" s="2">
        <v>150740</v>
      </c>
      <c r="K65">
        <f t="shared" si="0"/>
        <v>2484</v>
      </c>
    </row>
    <row r="66" spans="1:11" x14ac:dyDescent="0.3">
      <c r="A66" t="s">
        <v>88</v>
      </c>
      <c r="B66" t="s">
        <v>12</v>
      </c>
      <c r="C66" t="s">
        <v>27</v>
      </c>
      <c r="D66" t="s">
        <v>74</v>
      </c>
      <c r="E66" t="s">
        <v>15</v>
      </c>
      <c r="F66">
        <v>48</v>
      </c>
      <c r="G66">
        <v>44</v>
      </c>
      <c r="H66">
        <v>0</v>
      </c>
      <c r="I66" s="1">
        <v>4839</v>
      </c>
      <c r="J66" s="2">
        <v>150740</v>
      </c>
      <c r="K66">
        <f t="shared" si="0"/>
        <v>2112</v>
      </c>
    </row>
    <row r="67" spans="1:11" x14ac:dyDescent="0.3">
      <c r="A67" t="s">
        <v>89</v>
      </c>
      <c r="B67" t="s">
        <v>12</v>
      </c>
      <c r="C67" t="s">
        <v>35</v>
      </c>
      <c r="D67" t="s">
        <v>74</v>
      </c>
      <c r="E67" t="s">
        <v>30</v>
      </c>
      <c r="F67">
        <v>300</v>
      </c>
      <c r="G67">
        <v>283</v>
      </c>
      <c r="H67">
        <v>1</v>
      </c>
      <c r="I67" s="1">
        <v>30292</v>
      </c>
      <c r="J67" t="s">
        <v>31</v>
      </c>
      <c r="K67">
        <f t="shared" ref="K67:K130" si="1">SUM(((F67*G67)+(H67*1.2))*IF(E67="complete",1,1.5))</f>
        <v>127351.79999999999</v>
      </c>
    </row>
    <row r="68" spans="1:11" x14ac:dyDescent="0.3">
      <c r="A68" t="s">
        <v>90</v>
      </c>
      <c r="B68" t="s">
        <v>12</v>
      </c>
      <c r="C68" t="s">
        <v>35</v>
      </c>
      <c r="D68" t="s">
        <v>74</v>
      </c>
      <c r="E68" t="s">
        <v>15</v>
      </c>
      <c r="F68">
        <v>51</v>
      </c>
      <c r="G68">
        <v>51</v>
      </c>
      <c r="H68">
        <v>0</v>
      </c>
      <c r="I68" s="1">
        <v>5137</v>
      </c>
      <c r="J68" s="2">
        <v>150740</v>
      </c>
      <c r="K68">
        <f t="shared" si="1"/>
        <v>2601</v>
      </c>
    </row>
    <row r="69" spans="1:11" x14ac:dyDescent="0.3">
      <c r="A69" t="s">
        <v>91</v>
      </c>
      <c r="B69" t="s">
        <v>12</v>
      </c>
      <c r="C69" t="s">
        <v>35</v>
      </c>
      <c r="D69" t="s">
        <v>74</v>
      </c>
      <c r="E69" t="s">
        <v>15</v>
      </c>
      <c r="F69">
        <v>37</v>
      </c>
      <c r="G69">
        <v>37</v>
      </c>
      <c r="H69">
        <v>0</v>
      </c>
      <c r="I69" s="1">
        <v>3727</v>
      </c>
      <c r="J69" s="2">
        <v>150740</v>
      </c>
      <c r="K69">
        <f t="shared" si="1"/>
        <v>1369</v>
      </c>
    </row>
    <row r="70" spans="1:11" x14ac:dyDescent="0.3">
      <c r="A70" t="s">
        <v>92</v>
      </c>
      <c r="B70" t="s">
        <v>12</v>
      </c>
      <c r="C70" t="s">
        <v>35</v>
      </c>
      <c r="D70" t="s">
        <v>74</v>
      </c>
      <c r="E70" t="s">
        <v>15</v>
      </c>
      <c r="F70">
        <v>35</v>
      </c>
      <c r="G70">
        <v>35</v>
      </c>
      <c r="H70">
        <v>0</v>
      </c>
      <c r="I70" s="1">
        <v>3521</v>
      </c>
      <c r="J70" s="2">
        <v>150740</v>
      </c>
      <c r="K70">
        <f t="shared" si="1"/>
        <v>1225</v>
      </c>
    </row>
    <row r="71" spans="1:11" x14ac:dyDescent="0.3">
      <c r="A71" t="s">
        <v>93</v>
      </c>
      <c r="B71" t="s">
        <v>12</v>
      </c>
      <c r="C71" t="s">
        <v>35</v>
      </c>
      <c r="D71" t="s">
        <v>74</v>
      </c>
      <c r="E71" t="s">
        <v>15</v>
      </c>
      <c r="F71">
        <v>31</v>
      </c>
      <c r="G71">
        <v>31</v>
      </c>
      <c r="H71">
        <v>0</v>
      </c>
      <c r="I71" s="1">
        <v>3127</v>
      </c>
      <c r="J71" s="2">
        <v>150740</v>
      </c>
      <c r="K71">
        <f t="shared" si="1"/>
        <v>961</v>
      </c>
    </row>
    <row r="72" spans="1:11" x14ac:dyDescent="0.3">
      <c r="A72" t="s">
        <v>94</v>
      </c>
      <c r="B72" t="s">
        <v>12</v>
      </c>
      <c r="C72" t="s">
        <v>42</v>
      </c>
      <c r="D72" t="s">
        <v>74</v>
      </c>
      <c r="E72" t="s">
        <v>15</v>
      </c>
      <c r="F72">
        <v>99</v>
      </c>
      <c r="G72">
        <v>98</v>
      </c>
      <c r="H72">
        <v>0</v>
      </c>
      <c r="I72" s="1">
        <v>9962</v>
      </c>
      <c r="J72" s="2">
        <v>129167</v>
      </c>
      <c r="K72">
        <f t="shared" si="1"/>
        <v>9702</v>
      </c>
    </row>
    <row r="73" spans="1:11" x14ac:dyDescent="0.3">
      <c r="A73" t="s">
        <v>95</v>
      </c>
      <c r="B73" t="s">
        <v>12</v>
      </c>
      <c r="C73" t="s">
        <v>42</v>
      </c>
      <c r="D73" t="s">
        <v>74</v>
      </c>
      <c r="E73" t="s">
        <v>15</v>
      </c>
      <c r="F73">
        <v>46</v>
      </c>
      <c r="G73">
        <v>46</v>
      </c>
      <c r="H73">
        <v>0</v>
      </c>
      <c r="I73" s="1">
        <v>4634</v>
      </c>
      <c r="J73" s="2">
        <v>150740</v>
      </c>
      <c r="K73">
        <f t="shared" si="1"/>
        <v>2116</v>
      </c>
    </row>
    <row r="74" spans="1:11" x14ac:dyDescent="0.3">
      <c r="A74" t="s">
        <v>96</v>
      </c>
      <c r="B74" t="s">
        <v>12</v>
      </c>
      <c r="C74" t="s">
        <v>42</v>
      </c>
      <c r="D74" t="s">
        <v>74</v>
      </c>
      <c r="E74" t="s">
        <v>15</v>
      </c>
      <c r="F74">
        <v>17</v>
      </c>
      <c r="G74">
        <v>17</v>
      </c>
      <c r="H74">
        <v>0</v>
      </c>
      <c r="I74" s="1">
        <v>1711</v>
      </c>
      <c r="J74" s="2">
        <v>150740</v>
      </c>
      <c r="K74">
        <f t="shared" si="1"/>
        <v>289</v>
      </c>
    </row>
    <row r="75" spans="1:11" x14ac:dyDescent="0.3">
      <c r="A75" t="s">
        <v>97</v>
      </c>
      <c r="B75" t="s">
        <v>12</v>
      </c>
      <c r="C75" t="s">
        <v>42</v>
      </c>
      <c r="D75" t="s">
        <v>74</v>
      </c>
      <c r="E75" t="s">
        <v>15</v>
      </c>
      <c r="F75">
        <v>14</v>
      </c>
      <c r="G75">
        <v>14</v>
      </c>
      <c r="H75">
        <v>0</v>
      </c>
      <c r="I75" s="1">
        <v>1409</v>
      </c>
      <c r="J75" s="2">
        <v>150740</v>
      </c>
      <c r="K75">
        <f t="shared" si="1"/>
        <v>196</v>
      </c>
    </row>
    <row r="76" spans="1:11" x14ac:dyDescent="0.3">
      <c r="A76" t="s">
        <v>98</v>
      </c>
      <c r="B76" t="s">
        <v>12</v>
      </c>
      <c r="C76" t="s">
        <v>42</v>
      </c>
      <c r="D76" t="s">
        <v>74</v>
      </c>
      <c r="E76" t="s">
        <v>15</v>
      </c>
      <c r="F76">
        <v>13</v>
      </c>
      <c r="G76">
        <v>13</v>
      </c>
      <c r="H76">
        <v>0</v>
      </c>
      <c r="I76" s="1">
        <v>1309</v>
      </c>
      <c r="J76" s="2">
        <v>150740</v>
      </c>
      <c r="K76">
        <f t="shared" si="1"/>
        <v>169</v>
      </c>
    </row>
    <row r="77" spans="1:11" x14ac:dyDescent="0.3">
      <c r="A77" t="s">
        <v>99</v>
      </c>
      <c r="B77" t="s">
        <v>12</v>
      </c>
      <c r="C77" t="s">
        <v>13</v>
      </c>
      <c r="D77" t="s">
        <v>100</v>
      </c>
      <c r="E77" t="s">
        <v>15</v>
      </c>
      <c r="F77">
        <v>51</v>
      </c>
      <c r="G77">
        <v>51</v>
      </c>
      <c r="H77">
        <v>0</v>
      </c>
      <c r="I77" s="1">
        <v>5127</v>
      </c>
      <c r="J77" s="2">
        <v>150740</v>
      </c>
      <c r="K77">
        <f t="shared" si="1"/>
        <v>2601</v>
      </c>
    </row>
    <row r="78" spans="1:11" x14ac:dyDescent="0.3">
      <c r="A78" t="s">
        <v>101</v>
      </c>
      <c r="B78" t="s">
        <v>12</v>
      </c>
      <c r="C78" t="s">
        <v>13</v>
      </c>
      <c r="D78" t="s">
        <v>100</v>
      </c>
      <c r="E78" t="s">
        <v>15</v>
      </c>
      <c r="F78">
        <v>19</v>
      </c>
      <c r="G78">
        <v>19</v>
      </c>
      <c r="H78">
        <v>0</v>
      </c>
      <c r="I78" s="1">
        <v>1912</v>
      </c>
      <c r="J78" s="2">
        <v>150740</v>
      </c>
      <c r="K78">
        <f t="shared" si="1"/>
        <v>361</v>
      </c>
    </row>
    <row r="79" spans="1:11" x14ac:dyDescent="0.3">
      <c r="A79" t="s">
        <v>102</v>
      </c>
      <c r="B79" t="s">
        <v>12</v>
      </c>
      <c r="C79" t="s">
        <v>13</v>
      </c>
      <c r="D79" t="s">
        <v>100</v>
      </c>
      <c r="E79" t="s">
        <v>15</v>
      </c>
      <c r="F79">
        <v>15</v>
      </c>
      <c r="G79">
        <v>15</v>
      </c>
      <c r="H79">
        <v>0</v>
      </c>
      <c r="I79" s="1">
        <v>1512</v>
      </c>
      <c r="J79" s="2">
        <v>150740</v>
      </c>
      <c r="K79">
        <f t="shared" si="1"/>
        <v>225</v>
      </c>
    </row>
    <row r="80" spans="1:11" x14ac:dyDescent="0.3">
      <c r="A80" t="s">
        <v>103</v>
      </c>
      <c r="B80" t="s">
        <v>12</v>
      </c>
      <c r="C80" t="s">
        <v>13</v>
      </c>
      <c r="D80" t="s">
        <v>100</v>
      </c>
      <c r="E80" t="s">
        <v>15</v>
      </c>
      <c r="F80">
        <v>16</v>
      </c>
      <c r="G80">
        <v>16</v>
      </c>
      <c r="H80">
        <v>0</v>
      </c>
      <c r="I80" s="1">
        <v>1613</v>
      </c>
      <c r="J80" s="2">
        <v>150740</v>
      </c>
      <c r="K80">
        <f t="shared" si="1"/>
        <v>256</v>
      </c>
    </row>
    <row r="81" spans="1:11" x14ac:dyDescent="0.3">
      <c r="A81" t="s">
        <v>104</v>
      </c>
      <c r="B81" t="s">
        <v>12</v>
      </c>
      <c r="C81" t="s">
        <v>13</v>
      </c>
      <c r="D81" t="s">
        <v>100</v>
      </c>
      <c r="E81" t="s">
        <v>15</v>
      </c>
      <c r="F81">
        <v>15</v>
      </c>
      <c r="G81">
        <v>15</v>
      </c>
      <c r="H81">
        <v>0</v>
      </c>
      <c r="I81" s="1">
        <v>1512</v>
      </c>
      <c r="J81" s="2">
        <v>150740</v>
      </c>
      <c r="K81">
        <f t="shared" si="1"/>
        <v>225</v>
      </c>
    </row>
    <row r="82" spans="1:11" x14ac:dyDescent="0.3">
      <c r="A82" t="s">
        <v>105</v>
      </c>
      <c r="B82" t="s">
        <v>12</v>
      </c>
      <c r="C82" t="s">
        <v>21</v>
      </c>
      <c r="D82" t="s">
        <v>100</v>
      </c>
      <c r="E82" t="s">
        <v>15</v>
      </c>
      <c r="F82">
        <v>40</v>
      </c>
      <c r="G82">
        <v>37</v>
      </c>
      <c r="H82">
        <v>0</v>
      </c>
      <c r="I82" s="1">
        <v>4027</v>
      </c>
      <c r="J82" s="2">
        <v>150740</v>
      </c>
      <c r="K82">
        <f t="shared" si="1"/>
        <v>1480</v>
      </c>
    </row>
    <row r="83" spans="1:11" x14ac:dyDescent="0.3">
      <c r="A83" t="s">
        <v>106</v>
      </c>
      <c r="B83" t="s">
        <v>12</v>
      </c>
      <c r="C83" t="s">
        <v>21</v>
      </c>
      <c r="D83" t="s">
        <v>100</v>
      </c>
      <c r="E83" t="s">
        <v>15</v>
      </c>
      <c r="F83">
        <v>18</v>
      </c>
      <c r="G83">
        <v>18</v>
      </c>
      <c r="H83">
        <v>0</v>
      </c>
      <c r="I83" s="1">
        <v>1814</v>
      </c>
      <c r="J83" s="2">
        <v>150740</v>
      </c>
      <c r="K83">
        <f t="shared" si="1"/>
        <v>324</v>
      </c>
    </row>
    <row r="84" spans="1:11" x14ac:dyDescent="0.3">
      <c r="A84" t="s">
        <v>107</v>
      </c>
      <c r="B84" t="s">
        <v>12</v>
      </c>
      <c r="C84" t="s">
        <v>21</v>
      </c>
      <c r="D84" t="s">
        <v>100</v>
      </c>
      <c r="E84" t="s">
        <v>15</v>
      </c>
      <c r="F84">
        <v>13</v>
      </c>
      <c r="G84">
        <v>13</v>
      </c>
      <c r="H84">
        <v>0</v>
      </c>
      <c r="I84" s="1">
        <v>1308</v>
      </c>
      <c r="J84" s="2">
        <v>150740</v>
      </c>
      <c r="K84">
        <f t="shared" si="1"/>
        <v>169</v>
      </c>
    </row>
    <row r="85" spans="1:11" x14ac:dyDescent="0.3">
      <c r="A85" t="s">
        <v>108</v>
      </c>
      <c r="B85" t="s">
        <v>12</v>
      </c>
      <c r="C85" t="s">
        <v>21</v>
      </c>
      <c r="D85" t="s">
        <v>100</v>
      </c>
      <c r="E85" t="s">
        <v>15</v>
      </c>
      <c r="F85">
        <v>13</v>
      </c>
      <c r="G85">
        <v>13</v>
      </c>
      <c r="H85">
        <v>0</v>
      </c>
      <c r="I85" s="1">
        <v>1310</v>
      </c>
      <c r="J85" s="2">
        <v>150740</v>
      </c>
      <c r="K85">
        <f t="shared" si="1"/>
        <v>169</v>
      </c>
    </row>
    <row r="86" spans="1:11" x14ac:dyDescent="0.3">
      <c r="A86" t="s">
        <v>109</v>
      </c>
      <c r="B86" t="s">
        <v>12</v>
      </c>
      <c r="C86" t="s">
        <v>21</v>
      </c>
      <c r="D86" t="s">
        <v>100</v>
      </c>
      <c r="E86" t="s">
        <v>15</v>
      </c>
      <c r="F86">
        <v>18</v>
      </c>
      <c r="G86">
        <v>18</v>
      </c>
      <c r="H86">
        <v>0</v>
      </c>
      <c r="I86" s="1">
        <v>1816</v>
      </c>
      <c r="J86" s="2">
        <v>150740</v>
      </c>
      <c r="K86">
        <f t="shared" si="1"/>
        <v>324</v>
      </c>
    </row>
    <row r="87" spans="1:11" x14ac:dyDescent="0.3">
      <c r="A87" t="s">
        <v>110</v>
      </c>
      <c r="B87" t="s">
        <v>12</v>
      </c>
      <c r="C87" t="s">
        <v>27</v>
      </c>
      <c r="D87" t="s">
        <v>100</v>
      </c>
      <c r="E87" t="s">
        <v>15</v>
      </c>
      <c r="F87">
        <v>96</v>
      </c>
      <c r="G87">
        <v>90</v>
      </c>
      <c r="H87">
        <v>0</v>
      </c>
      <c r="I87" s="1">
        <v>9660</v>
      </c>
      <c r="J87" s="2">
        <v>130879</v>
      </c>
      <c r="K87">
        <f t="shared" si="1"/>
        <v>8640</v>
      </c>
    </row>
    <row r="88" spans="1:11" x14ac:dyDescent="0.3">
      <c r="A88" t="s">
        <v>111</v>
      </c>
      <c r="B88" t="s">
        <v>12</v>
      </c>
      <c r="C88" t="s">
        <v>27</v>
      </c>
      <c r="D88" t="s">
        <v>100</v>
      </c>
      <c r="E88" t="s">
        <v>15</v>
      </c>
      <c r="F88">
        <v>43</v>
      </c>
      <c r="G88">
        <v>34</v>
      </c>
      <c r="H88">
        <v>0</v>
      </c>
      <c r="I88" s="1">
        <v>4329</v>
      </c>
      <c r="J88" s="2">
        <v>150740</v>
      </c>
      <c r="K88">
        <f t="shared" si="1"/>
        <v>1462</v>
      </c>
    </row>
    <row r="89" spans="1:11" x14ac:dyDescent="0.3">
      <c r="A89" t="s">
        <v>112</v>
      </c>
      <c r="B89" t="s">
        <v>12</v>
      </c>
      <c r="C89" t="s">
        <v>27</v>
      </c>
      <c r="D89" t="s">
        <v>100</v>
      </c>
      <c r="E89" t="s">
        <v>15</v>
      </c>
      <c r="F89">
        <v>43</v>
      </c>
      <c r="G89">
        <v>37</v>
      </c>
      <c r="H89">
        <v>0</v>
      </c>
      <c r="I89" s="1">
        <v>4327</v>
      </c>
      <c r="J89" s="2">
        <v>150740</v>
      </c>
      <c r="K89">
        <f t="shared" si="1"/>
        <v>1591</v>
      </c>
    </row>
    <row r="90" spans="1:11" x14ac:dyDescent="0.3">
      <c r="A90" t="s">
        <v>113</v>
      </c>
      <c r="B90" t="s">
        <v>12</v>
      </c>
      <c r="C90" t="s">
        <v>27</v>
      </c>
      <c r="D90" t="s">
        <v>100</v>
      </c>
      <c r="E90" t="s">
        <v>15</v>
      </c>
      <c r="F90">
        <v>44</v>
      </c>
      <c r="G90">
        <v>36</v>
      </c>
      <c r="H90">
        <v>0</v>
      </c>
      <c r="I90" s="1">
        <v>4432</v>
      </c>
      <c r="J90" s="2">
        <v>150740</v>
      </c>
      <c r="K90">
        <f t="shared" si="1"/>
        <v>1584</v>
      </c>
    </row>
    <row r="91" spans="1:11" x14ac:dyDescent="0.3">
      <c r="A91" t="s">
        <v>114</v>
      </c>
      <c r="B91" t="s">
        <v>12</v>
      </c>
      <c r="C91" t="s">
        <v>27</v>
      </c>
      <c r="D91" t="s">
        <v>100</v>
      </c>
      <c r="E91" t="s">
        <v>15</v>
      </c>
      <c r="F91">
        <v>50</v>
      </c>
      <c r="G91">
        <v>41</v>
      </c>
      <c r="H91">
        <v>0</v>
      </c>
      <c r="I91" s="1">
        <v>5030</v>
      </c>
      <c r="J91" s="2">
        <v>150740</v>
      </c>
      <c r="K91">
        <f t="shared" si="1"/>
        <v>2050</v>
      </c>
    </row>
    <row r="92" spans="1:11" x14ac:dyDescent="0.3">
      <c r="A92" t="s">
        <v>115</v>
      </c>
      <c r="B92" t="s">
        <v>12</v>
      </c>
      <c r="C92" t="s">
        <v>35</v>
      </c>
      <c r="D92" t="s">
        <v>100</v>
      </c>
      <c r="E92" t="s">
        <v>15</v>
      </c>
      <c r="F92">
        <v>276</v>
      </c>
      <c r="G92">
        <v>264</v>
      </c>
      <c r="H92">
        <v>1</v>
      </c>
      <c r="I92" s="1">
        <v>27850</v>
      </c>
      <c r="J92" s="2">
        <v>111115</v>
      </c>
      <c r="K92">
        <f t="shared" si="1"/>
        <v>72865.2</v>
      </c>
    </row>
    <row r="93" spans="1:11" x14ac:dyDescent="0.3">
      <c r="A93" t="s">
        <v>116</v>
      </c>
      <c r="B93" t="s">
        <v>12</v>
      </c>
      <c r="C93" t="s">
        <v>35</v>
      </c>
      <c r="D93" t="s">
        <v>100</v>
      </c>
      <c r="E93" t="s">
        <v>15</v>
      </c>
      <c r="F93">
        <v>43</v>
      </c>
      <c r="G93">
        <v>42</v>
      </c>
      <c r="H93">
        <v>0</v>
      </c>
      <c r="I93" s="1">
        <v>4327</v>
      </c>
      <c r="J93" s="2">
        <v>150740</v>
      </c>
      <c r="K93">
        <f t="shared" si="1"/>
        <v>1806</v>
      </c>
    </row>
    <row r="94" spans="1:11" x14ac:dyDescent="0.3">
      <c r="A94" t="s">
        <v>117</v>
      </c>
      <c r="B94" t="s">
        <v>12</v>
      </c>
      <c r="C94" t="s">
        <v>35</v>
      </c>
      <c r="D94" t="s">
        <v>100</v>
      </c>
      <c r="E94" t="s">
        <v>15</v>
      </c>
      <c r="F94">
        <v>45</v>
      </c>
      <c r="G94">
        <v>44</v>
      </c>
      <c r="H94">
        <v>0</v>
      </c>
      <c r="I94" s="1">
        <v>4526</v>
      </c>
      <c r="J94" s="2">
        <v>150740</v>
      </c>
      <c r="K94">
        <f t="shared" si="1"/>
        <v>1980</v>
      </c>
    </row>
    <row r="95" spans="1:11" x14ac:dyDescent="0.3">
      <c r="A95" t="s">
        <v>118</v>
      </c>
      <c r="B95" t="s">
        <v>12</v>
      </c>
      <c r="C95" t="s">
        <v>35</v>
      </c>
      <c r="D95" t="s">
        <v>100</v>
      </c>
      <c r="E95" t="s">
        <v>15</v>
      </c>
      <c r="F95">
        <v>39</v>
      </c>
      <c r="G95">
        <v>38</v>
      </c>
      <c r="H95">
        <v>0</v>
      </c>
      <c r="I95" s="1">
        <v>3926</v>
      </c>
      <c r="J95" s="2">
        <v>150740</v>
      </c>
      <c r="K95">
        <f t="shared" si="1"/>
        <v>1482</v>
      </c>
    </row>
    <row r="96" spans="1:11" x14ac:dyDescent="0.3">
      <c r="A96" t="s">
        <v>119</v>
      </c>
      <c r="B96" t="s">
        <v>12</v>
      </c>
      <c r="C96" t="s">
        <v>35</v>
      </c>
      <c r="D96" t="s">
        <v>100</v>
      </c>
      <c r="E96" t="s">
        <v>15</v>
      </c>
      <c r="F96">
        <v>36</v>
      </c>
      <c r="G96">
        <v>35</v>
      </c>
      <c r="H96">
        <v>0</v>
      </c>
      <c r="I96" s="1">
        <v>3624</v>
      </c>
      <c r="J96" s="2">
        <v>150740</v>
      </c>
      <c r="K96">
        <f t="shared" si="1"/>
        <v>1260</v>
      </c>
    </row>
    <row r="97" spans="1:11" x14ac:dyDescent="0.3">
      <c r="A97" t="s">
        <v>120</v>
      </c>
      <c r="B97" t="s">
        <v>12</v>
      </c>
      <c r="C97" t="s">
        <v>42</v>
      </c>
      <c r="D97" t="s">
        <v>100</v>
      </c>
      <c r="E97" t="s">
        <v>15</v>
      </c>
      <c r="F97">
        <v>27</v>
      </c>
      <c r="G97">
        <v>27</v>
      </c>
      <c r="H97">
        <v>0</v>
      </c>
      <c r="I97" s="1">
        <v>2718</v>
      </c>
      <c r="J97" s="2">
        <v>150740</v>
      </c>
      <c r="K97">
        <f t="shared" si="1"/>
        <v>729</v>
      </c>
    </row>
    <row r="98" spans="1:11" x14ac:dyDescent="0.3">
      <c r="A98" t="s">
        <v>121</v>
      </c>
      <c r="B98" t="s">
        <v>12</v>
      </c>
      <c r="C98" t="s">
        <v>42</v>
      </c>
      <c r="D98" t="s">
        <v>100</v>
      </c>
      <c r="E98" t="s">
        <v>15</v>
      </c>
      <c r="F98">
        <v>17</v>
      </c>
      <c r="G98">
        <v>17</v>
      </c>
      <c r="H98">
        <v>0</v>
      </c>
      <c r="I98" s="1">
        <v>1712</v>
      </c>
      <c r="J98" s="2">
        <v>150740</v>
      </c>
      <c r="K98">
        <f t="shared" si="1"/>
        <v>289</v>
      </c>
    </row>
    <row r="99" spans="1:11" x14ac:dyDescent="0.3">
      <c r="A99" t="s">
        <v>122</v>
      </c>
      <c r="B99" t="s">
        <v>12</v>
      </c>
      <c r="C99" t="s">
        <v>42</v>
      </c>
      <c r="D99" t="s">
        <v>100</v>
      </c>
      <c r="E99" t="s">
        <v>15</v>
      </c>
      <c r="F99">
        <v>16</v>
      </c>
      <c r="G99">
        <v>16</v>
      </c>
      <c r="H99">
        <v>0</v>
      </c>
      <c r="I99" s="1">
        <v>1609</v>
      </c>
      <c r="J99" s="2">
        <v>150740</v>
      </c>
      <c r="K99">
        <f t="shared" si="1"/>
        <v>256</v>
      </c>
    </row>
    <row r="100" spans="1:11" x14ac:dyDescent="0.3">
      <c r="A100" t="s">
        <v>123</v>
      </c>
      <c r="B100" t="s">
        <v>12</v>
      </c>
      <c r="C100" t="s">
        <v>42</v>
      </c>
      <c r="D100" t="s">
        <v>100</v>
      </c>
      <c r="E100" t="s">
        <v>15</v>
      </c>
      <c r="F100">
        <v>11</v>
      </c>
      <c r="G100">
        <v>11</v>
      </c>
      <c r="H100">
        <v>0</v>
      </c>
      <c r="I100" s="1">
        <v>1109</v>
      </c>
      <c r="J100" s="2">
        <v>150740</v>
      </c>
      <c r="K100">
        <f t="shared" si="1"/>
        <v>121</v>
      </c>
    </row>
    <row r="101" spans="1:11" x14ac:dyDescent="0.3">
      <c r="A101" t="s">
        <v>124</v>
      </c>
      <c r="B101" t="s">
        <v>12</v>
      </c>
      <c r="C101" t="s">
        <v>42</v>
      </c>
      <c r="D101" t="s">
        <v>100</v>
      </c>
      <c r="E101" t="s">
        <v>15</v>
      </c>
      <c r="F101">
        <v>11</v>
      </c>
      <c r="G101">
        <v>11</v>
      </c>
      <c r="H101">
        <v>0</v>
      </c>
      <c r="I101" s="1">
        <v>1109</v>
      </c>
      <c r="J101" s="2">
        <v>150740</v>
      </c>
      <c r="K101">
        <f t="shared" si="1"/>
        <v>121</v>
      </c>
    </row>
    <row r="102" spans="1:11" x14ac:dyDescent="0.3">
      <c r="A102" t="s">
        <v>125</v>
      </c>
      <c r="B102" t="s">
        <v>12</v>
      </c>
      <c r="C102" t="s">
        <v>13</v>
      </c>
      <c r="D102" t="s">
        <v>126</v>
      </c>
      <c r="E102" t="s">
        <v>15</v>
      </c>
      <c r="F102">
        <v>67</v>
      </c>
      <c r="G102">
        <v>66</v>
      </c>
      <c r="H102">
        <v>0</v>
      </c>
      <c r="I102" s="1">
        <v>6735</v>
      </c>
      <c r="J102" s="2">
        <v>142848</v>
      </c>
      <c r="K102">
        <f t="shared" si="1"/>
        <v>4422</v>
      </c>
    </row>
    <row r="103" spans="1:11" x14ac:dyDescent="0.3">
      <c r="A103" t="s">
        <v>127</v>
      </c>
      <c r="B103" t="s">
        <v>12</v>
      </c>
      <c r="C103" t="s">
        <v>13</v>
      </c>
      <c r="D103" t="s">
        <v>126</v>
      </c>
      <c r="E103" t="s">
        <v>15</v>
      </c>
      <c r="F103">
        <v>25</v>
      </c>
      <c r="G103">
        <v>25</v>
      </c>
      <c r="H103">
        <v>0</v>
      </c>
      <c r="I103" s="1">
        <v>2516</v>
      </c>
      <c r="J103" s="2">
        <v>150740</v>
      </c>
      <c r="K103">
        <f t="shared" si="1"/>
        <v>625</v>
      </c>
    </row>
    <row r="104" spans="1:11" x14ac:dyDescent="0.3">
      <c r="A104" t="s">
        <v>128</v>
      </c>
      <c r="B104" t="s">
        <v>12</v>
      </c>
      <c r="C104" t="s">
        <v>13</v>
      </c>
      <c r="D104" t="s">
        <v>126</v>
      </c>
      <c r="E104" t="s">
        <v>15</v>
      </c>
      <c r="F104">
        <v>23</v>
      </c>
      <c r="G104">
        <v>23</v>
      </c>
      <c r="H104">
        <v>0</v>
      </c>
      <c r="I104" s="1">
        <v>2315</v>
      </c>
      <c r="J104" s="2">
        <v>150740</v>
      </c>
      <c r="K104">
        <f t="shared" si="1"/>
        <v>529</v>
      </c>
    </row>
    <row r="105" spans="1:11" x14ac:dyDescent="0.3">
      <c r="A105" t="s">
        <v>129</v>
      </c>
      <c r="B105" t="s">
        <v>12</v>
      </c>
      <c r="C105" t="s">
        <v>13</v>
      </c>
      <c r="D105" t="s">
        <v>126</v>
      </c>
      <c r="E105" t="s">
        <v>15</v>
      </c>
      <c r="F105">
        <v>21</v>
      </c>
      <c r="G105">
        <v>21</v>
      </c>
      <c r="H105">
        <v>0</v>
      </c>
      <c r="I105" s="1">
        <v>2116</v>
      </c>
      <c r="J105" s="2">
        <v>150740</v>
      </c>
      <c r="K105">
        <f t="shared" si="1"/>
        <v>441</v>
      </c>
    </row>
    <row r="106" spans="1:11" x14ac:dyDescent="0.3">
      <c r="A106" t="s">
        <v>130</v>
      </c>
      <c r="B106" t="s">
        <v>12</v>
      </c>
      <c r="C106" t="s">
        <v>13</v>
      </c>
      <c r="D106" t="s">
        <v>126</v>
      </c>
      <c r="E106" t="s">
        <v>15</v>
      </c>
      <c r="F106">
        <v>15</v>
      </c>
      <c r="G106">
        <v>15</v>
      </c>
      <c r="H106">
        <v>0</v>
      </c>
      <c r="I106" s="1">
        <v>1510</v>
      </c>
      <c r="J106" s="2">
        <v>150740</v>
      </c>
      <c r="K106">
        <f t="shared" si="1"/>
        <v>225</v>
      </c>
    </row>
    <row r="107" spans="1:11" x14ac:dyDescent="0.3">
      <c r="A107" t="s">
        <v>131</v>
      </c>
      <c r="B107" t="s">
        <v>12</v>
      </c>
      <c r="C107" t="s">
        <v>21</v>
      </c>
      <c r="D107" t="s">
        <v>126</v>
      </c>
      <c r="E107" t="s">
        <v>15</v>
      </c>
      <c r="F107">
        <v>55</v>
      </c>
      <c r="G107">
        <v>55</v>
      </c>
      <c r="H107">
        <v>0</v>
      </c>
      <c r="I107" s="1">
        <v>5529</v>
      </c>
      <c r="J107" s="2">
        <v>150740</v>
      </c>
      <c r="K107">
        <f t="shared" si="1"/>
        <v>3025</v>
      </c>
    </row>
    <row r="108" spans="1:11" x14ac:dyDescent="0.3">
      <c r="A108" t="s">
        <v>132</v>
      </c>
      <c r="B108" t="s">
        <v>12</v>
      </c>
      <c r="C108" t="s">
        <v>21</v>
      </c>
      <c r="D108" t="s">
        <v>126</v>
      </c>
      <c r="E108" t="s">
        <v>15</v>
      </c>
      <c r="F108">
        <v>48</v>
      </c>
      <c r="G108">
        <v>48</v>
      </c>
      <c r="H108">
        <v>0</v>
      </c>
      <c r="I108" s="1">
        <v>4829</v>
      </c>
      <c r="J108" s="2">
        <v>150740</v>
      </c>
      <c r="K108">
        <f t="shared" si="1"/>
        <v>2304</v>
      </c>
    </row>
    <row r="109" spans="1:11" x14ac:dyDescent="0.3">
      <c r="A109" t="s">
        <v>133</v>
      </c>
      <c r="B109" t="s">
        <v>12</v>
      </c>
      <c r="C109" t="s">
        <v>21</v>
      </c>
      <c r="D109" t="s">
        <v>126</v>
      </c>
      <c r="E109" t="s">
        <v>15</v>
      </c>
      <c r="F109">
        <v>58</v>
      </c>
      <c r="G109">
        <v>57</v>
      </c>
      <c r="H109">
        <v>0</v>
      </c>
      <c r="I109" s="1">
        <v>5835</v>
      </c>
      <c r="J109" s="2">
        <v>149439</v>
      </c>
      <c r="K109">
        <f t="shared" si="1"/>
        <v>3306</v>
      </c>
    </row>
    <row r="110" spans="1:11" x14ac:dyDescent="0.3">
      <c r="A110" t="s">
        <v>134</v>
      </c>
      <c r="B110" t="s">
        <v>12</v>
      </c>
      <c r="C110" t="s">
        <v>21</v>
      </c>
      <c r="D110" t="s">
        <v>126</v>
      </c>
      <c r="E110" t="s">
        <v>15</v>
      </c>
      <c r="F110">
        <v>20</v>
      </c>
      <c r="G110">
        <v>20</v>
      </c>
      <c r="H110">
        <v>0</v>
      </c>
      <c r="I110" s="1">
        <v>2014</v>
      </c>
      <c r="J110" s="2">
        <v>150740</v>
      </c>
      <c r="K110">
        <f t="shared" si="1"/>
        <v>400</v>
      </c>
    </row>
    <row r="111" spans="1:11" x14ac:dyDescent="0.3">
      <c r="A111" t="s">
        <v>135</v>
      </c>
      <c r="B111" t="s">
        <v>12</v>
      </c>
      <c r="C111" t="s">
        <v>21</v>
      </c>
      <c r="D111" t="s">
        <v>126</v>
      </c>
      <c r="E111" t="s">
        <v>15</v>
      </c>
      <c r="F111">
        <v>16</v>
      </c>
      <c r="G111">
        <v>16</v>
      </c>
      <c r="H111">
        <v>0</v>
      </c>
      <c r="I111" s="1">
        <v>1614</v>
      </c>
      <c r="J111" s="2">
        <v>150740</v>
      </c>
      <c r="K111">
        <f t="shared" si="1"/>
        <v>256</v>
      </c>
    </row>
    <row r="112" spans="1:11" x14ac:dyDescent="0.3">
      <c r="A112" t="s">
        <v>136</v>
      </c>
      <c r="B112" t="s">
        <v>12</v>
      </c>
      <c r="C112" t="s">
        <v>27</v>
      </c>
      <c r="D112" t="s">
        <v>126</v>
      </c>
      <c r="E112" t="s">
        <v>15</v>
      </c>
      <c r="F112">
        <v>116</v>
      </c>
      <c r="G112">
        <v>109</v>
      </c>
      <c r="H112">
        <v>0</v>
      </c>
      <c r="I112" s="1">
        <v>11669</v>
      </c>
      <c r="J112" s="2">
        <v>125653</v>
      </c>
      <c r="K112">
        <f t="shared" si="1"/>
        <v>12644</v>
      </c>
    </row>
    <row r="113" spans="1:11" x14ac:dyDescent="0.3">
      <c r="A113" t="s">
        <v>137</v>
      </c>
      <c r="B113" t="s">
        <v>12</v>
      </c>
      <c r="C113" t="s">
        <v>27</v>
      </c>
      <c r="D113" t="s">
        <v>126</v>
      </c>
      <c r="E113" t="s">
        <v>15</v>
      </c>
      <c r="F113">
        <v>58</v>
      </c>
      <c r="G113">
        <v>55</v>
      </c>
      <c r="H113">
        <v>0</v>
      </c>
      <c r="I113" s="1">
        <v>5842</v>
      </c>
      <c r="J113" s="2">
        <v>149878</v>
      </c>
      <c r="K113">
        <f t="shared" si="1"/>
        <v>3190</v>
      </c>
    </row>
    <row r="114" spans="1:11" x14ac:dyDescent="0.3">
      <c r="A114" t="s">
        <v>138</v>
      </c>
      <c r="B114" t="s">
        <v>12</v>
      </c>
      <c r="C114" t="s">
        <v>27</v>
      </c>
      <c r="D114" t="s">
        <v>126</v>
      </c>
      <c r="E114" t="s">
        <v>15</v>
      </c>
      <c r="F114">
        <v>55</v>
      </c>
      <c r="G114">
        <v>51</v>
      </c>
      <c r="H114">
        <v>0</v>
      </c>
      <c r="I114" s="1">
        <v>5535</v>
      </c>
      <c r="J114" s="2">
        <v>150740</v>
      </c>
      <c r="K114">
        <f t="shared" si="1"/>
        <v>2805</v>
      </c>
    </row>
    <row r="115" spans="1:11" x14ac:dyDescent="0.3">
      <c r="A115" t="s">
        <v>139</v>
      </c>
      <c r="B115" t="s">
        <v>12</v>
      </c>
      <c r="C115" t="s">
        <v>27</v>
      </c>
      <c r="D115" t="s">
        <v>126</v>
      </c>
      <c r="E115" t="s">
        <v>15</v>
      </c>
      <c r="F115">
        <v>56</v>
      </c>
      <c r="G115">
        <v>53</v>
      </c>
      <c r="H115">
        <v>0</v>
      </c>
      <c r="I115" s="1">
        <v>5639</v>
      </c>
      <c r="J115" s="2">
        <v>150740</v>
      </c>
      <c r="K115">
        <f t="shared" si="1"/>
        <v>2968</v>
      </c>
    </row>
    <row r="116" spans="1:11" x14ac:dyDescent="0.3">
      <c r="A116" t="s">
        <v>140</v>
      </c>
      <c r="B116" t="s">
        <v>12</v>
      </c>
      <c r="C116" t="s">
        <v>27</v>
      </c>
      <c r="D116" t="s">
        <v>126</v>
      </c>
      <c r="E116" t="s">
        <v>15</v>
      </c>
      <c r="F116">
        <v>53</v>
      </c>
      <c r="G116">
        <v>49</v>
      </c>
      <c r="H116">
        <v>0</v>
      </c>
      <c r="I116" s="1">
        <v>5330</v>
      </c>
      <c r="J116" s="2">
        <v>150740</v>
      </c>
      <c r="K116">
        <f t="shared" si="1"/>
        <v>2597</v>
      </c>
    </row>
    <row r="117" spans="1:11" x14ac:dyDescent="0.3">
      <c r="A117" t="s">
        <v>141</v>
      </c>
      <c r="B117" t="s">
        <v>12</v>
      </c>
      <c r="C117" t="s">
        <v>35</v>
      </c>
      <c r="D117" t="s">
        <v>126</v>
      </c>
      <c r="E117" t="s">
        <v>15</v>
      </c>
      <c r="F117">
        <v>117</v>
      </c>
      <c r="G117">
        <v>115</v>
      </c>
      <c r="H117">
        <v>1</v>
      </c>
      <c r="I117" s="1">
        <v>11861</v>
      </c>
      <c r="J117" s="2">
        <v>124880</v>
      </c>
      <c r="K117">
        <f t="shared" si="1"/>
        <v>13456.2</v>
      </c>
    </row>
    <row r="118" spans="1:11" x14ac:dyDescent="0.3">
      <c r="A118" t="s">
        <v>142</v>
      </c>
      <c r="B118" t="s">
        <v>12</v>
      </c>
      <c r="C118" t="s">
        <v>35</v>
      </c>
      <c r="D118" t="s">
        <v>126</v>
      </c>
      <c r="E118" t="s">
        <v>15</v>
      </c>
      <c r="F118">
        <v>30</v>
      </c>
      <c r="G118">
        <v>30</v>
      </c>
      <c r="H118">
        <v>0</v>
      </c>
      <c r="I118" s="1">
        <v>3021</v>
      </c>
      <c r="J118" s="2">
        <v>150740</v>
      </c>
      <c r="K118">
        <f t="shared" si="1"/>
        <v>900</v>
      </c>
    </row>
    <row r="119" spans="1:11" x14ac:dyDescent="0.3">
      <c r="A119" t="s">
        <v>143</v>
      </c>
      <c r="B119" t="s">
        <v>12</v>
      </c>
      <c r="C119" t="s">
        <v>35</v>
      </c>
      <c r="D119" t="s">
        <v>126</v>
      </c>
      <c r="E119" t="s">
        <v>15</v>
      </c>
      <c r="F119">
        <v>43</v>
      </c>
      <c r="G119">
        <v>43</v>
      </c>
      <c r="H119">
        <v>0</v>
      </c>
      <c r="I119" s="1">
        <v>4330</v>
      </c>
      <c r="J119" s="2">
        <v>150740</v>
      </c>
      <c r="K119">
        <f t="shared" si="1"/>
        <v>1849</v>
      </c>
    </row>
    <row r="120" spans="1:11" x14ac:dyDescent="0.3">
      <c r="A120" t="s">
        <v>144</v>
      </c>
      <c r="B120" t="s">
        <v>12</v>
      </c>
      <c r="C120" t="s">
        <v>35</v>
      </c>
      <c r="D120" t="s">
        <v>126</v>
      </c>
      <c r="E120" t="s">
        <v>15</v>
      </c>
      <c r="F120">
        <v>46</v>
      </c>
      <c r="G120">
        <v>46</v>
      </c>
      <c r="H120">
        <v>0</v>
      </c>
      <c r="I120" s="1">
        <v>4631</v>
      </c>
      <c r="J120" s="2">
        <v>150740</v>
      </c>
      <c r="K120">
        <f t="shared" si="1"/>
        <v>2116</v>
      </c>
    </row>
    <row r="121" spans="1:11" x14ac:dyDescent="0.3">
      <c r="A121" t="s">
        <v>145</v>
      </c>
      <c r="B121" t="s">
        <v>12</v>
      </c>
      <c r="C121" t="s">
        <v>35</v>
      </c>
      <c r="D121" t="s">
        <v>126</v>
      </c>
      <c r="E121" t="s">
        <v>15</v>
      </c>
      <c r="F121">
        <v>35</v>
      </c>
      <c r="G121">
        <v>35</v>
      </c>
      <c r="H121">
        <v>0</v>
      </c>
      <c r="I121" s="1">
        <v>3524</v>
      </c>
      <c r="J121" s="2">
        <v>150740</v>
      </c>
      <c r="K121">
        <f t="shared" si="1"/>
        <v>1225</v>
      </c>
    </row>
    <row r="122" spans="1:11" x14ac:dyDescent="0.3">
      <c r="A122" t="s">
        <v>146</v>
      </c>
      <c r="B122" t="s">
        <v>12</v>
      </c>
      <c r="C122" t="s">
        <v>42</v>
      </c>
      <c r="D122" t="s">
        <v>126</v>
      </c>
      <c r="E122" t="s">
        <v>15</v>
      </c>
      <c r="F122">
        <v>75</v>
      </c>
      <c r="G122">
        <v>75</v>
      </c>
      <c r="H122">
        <v>0</v>
      </c>
      <c r="I122" s="1">
        <v>7553</v>
      </c>
      <c r="J122" s="2">
        <v>138073</v>
      </c>
      <c r="K122">
        <f t="shared" si="1"/>
        <v>5625</v>
      </c>
    </row>
    <row r="123" spans="1:11" x14ac:dyDescent="0.3">
      <c r="A123" t="s">
        <v>147</v>
      </c>
      <c r="B123" t="s">
        <v>12</v>
      </c>
      <c r="C123" t="s">
        <v>42</v>
      </c>
      <c r="D123" t="s">
        <v>126</v>
      </c>
      <c r="E123" t="s">
        <v>15</v>
      </c>
      <c r="F123">
        <v>54</v>
      </c>
      <c r="G123">
        <v>54</v>
      </c>
      <c r="H123">
        <v>0</v>
      </c>
      <c r="I123" s="1">
        <v>5446</v>
      </c>
      <c r="J123" s="2">
        <v>150740</v>
      </c>
      <c r="K123">
        <f t="shared" si="1"/>
        <v>2916</v>
      </c>
    </row>
    <row r="124" spans="1:11" x14ac:dyDescent="0.3">
      <c r="A124" t="s">
        <v>148</v>
      </c>
      <c r="B124" t="s">
        <v>12</v>
      </c>
      <c r="C124" t="s">
        <v>42</v>
      </c>
      <c r="D124" t="s">
        <v>126</v>
      </c>
      <c r="E124" t="s">
        <v>15</v>
      </c>
      <c r="F124">
        <v>66</v>
      </c>
      <c r="G124">
        <v>66</v>
      </c>
      <c r="H124">
        <v>0</v>
      </c>
      <c r="I124" s="1">
        <v>6647</v>
      </c>
      <c r="J124" s="2">
        <v>143164</v>
      </c>
      <c r="K124">
        <f t="shared" si="1"/>
        <v>4356</v>
      </c>
    </row>
    <row r="125" spans="1:11" x14ac:dyDescent="0.3">
      <c r="A125" t="s">
        <v>149</v>
      </c>
      <c r="B125" t="s">
        <v>12</v>
      </c>
      <c r="C125" t="s">
        <v>42</v>
      </c>
      <c r="D125" t="s">
        <v>126</v>
      </c>
      <c r="E125" t="s">
        <v>15</v>
      </c>
      <c r="F125">
        <v>19</v>
      </c>
      <c r="G125">
        <v>19</v>
      </c>
      <c r="H125">
        <v>0</v>
      </c>
      <c r="I125" s="1">
        <v>1911</v>
      </c>
      <c r="J125" s="2">
        <v>150740</v>
      </c>
      <c r="K125">
        <f t="shared" si="1"/>
        <v>361</v>
      </c>
    </row>
    <row r="126" spans="1:11" x14ac:dyDescent="0.3">
      <c r="A126" t="s">
        <v>150</v>
      </c>
      <c r="B126" t="s">
        <v>12</v>
      </c>
      <c r="C126" t="s">
        <v>42</v>
      </c>
      <c r="D126" t="s">
        <v>126</v>
      </c>
      <c r="E126" t="s">
        <v>15</v>
      </c>
      <c r="F126">
        <v>14</v>
      </c>
      <c r="G126">
        <v>14</v>
      </c>
      <c r="H126">
        <v>0</v>
      </c>
      <c r="I126" s="1">
        <v>1409</v>
      </c>
      <c r="J126" s="2">
        <v>150740</v>
      </c>
      <c r="K126">
        <f t="shared" si="1"/>
        <v>196</v>
      </c>
    </row>
    <row r="127" spans="1:11" x14ac:dyDescent="0.3">
      <c r="A127" t="s">
        <v>151</v>
      </c>
      <c r="B127" t="s">
        <v>12</v>
      </c>
      <c r="C127" t="s">
        <v>13</v>
      </c>
      <c r="D127" t="s">
        <v>152</v>
      </c>
      <c r="E127" t="s">
        <v>15</v>
      </c>
      <c r="F127">
        <v>27</v>
      </c>
      <c r="G127">
        <v>27</v>
      </c>
      <c r="H127">
        <v>0</v>
      </c>
      <c r="I127" s="1">
        <v>2716</v>
      </c>
      <c r="J127" s="2">
        <v>150740</v>
      </c>
      <c r="K127">
        <f t="shared" si="1"/>
        <v>729</v>
      </c>
    </row>
    <row r="128" spans="1:11" x14ac:dyDescent="0.3">
      <c r="A128" t="s">
        <v>153</v>
      </c>
      <c r="B128" t="s">
        <v>12</v>
      </c>
      <c r="C128" t="s">
        <v>13</v>
      </c>
      <c r="D128" t="s">
        <v>152</v>
      </c>
      <c r="E128" t="s">
        <v>15</v>
      </c>
      <c r="F128">
        <v>27</v>
      </c>
      <c r="G128">
        <v>27</v>
      </c>
      <c r="H128">
        <v>0</v>
      </c>
      <c r="I128" s="1">
        <v>2718</v>
      </c>
      <c r="J128" s="2">
        <v>150740</v>
      </c>
      <c r="K128">
        <f t="shared" si="1"/>
        <v>729</v>
      </c>
    </row>
    <row r="129" spans="1:11" x14ac:dyDescent="0.3">
      <c r="A129" t="s">
        <v>154</v>
      </c>
      <c r="B129" t="s">
        <v>12</v>
      </c>
      <c r="C129" t="s">
        <v>13</v>
      </c>
      <c r="D129" t="s">
        <v>152</v>
      </c>
      <c r="E129" t="s">
        <v>15</v>
      </c>
      <c r="F129">
        <v>15</v>
      </c>
      <c r="G129">
        <v>15</v>
      </c>
      <c r="H129">
        <v>0</v>
      </c>
      <c r="I129" s="1">
        <v>1512</v>
      </c>
      <c r="J129" s="2">
        <v>150740</v>
      </c>
      <c r="K129">
        <f t="shared" si="1"/>
        <v>225</v>
      </c>
    </row>
    <row r="130" spans="1:11" x14ac:dyDescent="0.3">
      <c r="A130" t="s">
        <v>155</v>
      </c>
      <c r="B130" t="s">
        <v>12</v>
      </c>
      <c r="C130" t="s">
        <v>13</v>
      </c>
      <c r="D130" t="s">
        <v>152</v>
      </c>
      <c r="E130" t="s">
        <v>15</v>
      </c>
      <c r="F130">
        <v>13</v>
      </c>
      <c r="G130">
        <v>13</v>
      </c>
      <c r="H130">
        <v>0</v>
      </c>
      <c r="I130" s="1">
        <v>1313</v>
      </c>
      <c r="J130" s="2">
        <v>150740</v>
      </c>
      <c r="K130">
        <f t="shared" si="1"/>
        <v>169</v>
      </c>
    </row>
    <row r="131" spans="1:11" x14ac:dyDescent="0.3">
      <c r="A131" t="s">
        <v>156</v>
      </c>
      <c r="B131" t="s">
        <v>12</v>
      </c>
      <c r="C131" t="s">
        <v>13</v>
      </c>
      <c r="D131" t="s">
        <v>152</v>
      </c>
      <c r="E131" t="s">
        <v>15</v>
      </c>
      <c r="F131">
        <v>13</v>
      </c>
      <c r="G131">
        <v>13</v>
      </c>
      <c r="H131">
        <v>0</v>
      </c>
      <c r="I131" s="1">
        <v>1309</v>
      </c>
      <c r="J131" s="2">
        <v>150740</v>
      </c>
      <c r="K131">
        <f t="shared" ref="K131:K194" si="2">SUM(((F131*G131)+(H131*1.2))*IF(E131="complete",1,1.5))</f>
        <v>169</v>
      </c>
    </row>
    <row r="132" spans="1:11" x14ac:dyDescent="0.3">
      <c r="A132" t="s">
        <v>157</v>
      </c>
      <c r="B132" t="s">
        <v>12</v>
      </c>
      <c r="C132" t="s">
        <v>21</v>
      </c>
      <c r="D132" t="s">
        <v>152</v>
      </c>
      <c r="E132" t="s">
        <v>15</v>
      </c>
      <c r="F132">
        <v>44</v>
      </c>
      <c r="G132">
        <v>41</v>
      </c>
      <c r="H132">
        <v>0</v>
      </c>
      <c r="I132" s="1">
        <v>4431</v>
      </c>
      <c r="J132" s="2">
        <v>150740</v>
      </c>
      <c r="K132">
        <f t="shared" si="2"/>
        <v>1804</v>
      </c>
    </row>
    <row r="133" spans="1:11" x14ac:dyDescent="0.3">
      <c r="A133" t="s">
        <v>158</v>
      </c>
      <c r="B133" t="s">
        <v>12</v>
      </c>
      <c r="C133" t="s">
        <v>21</v>
      </c>
      <c r="D133" t="s">
        <v>152</v>
      </c>
      <c r="E133" t="s">
        <v>15</v>
      </c>
      <c r="F133">
        <v>16</v>
      </c>
      <c r="G133">
        <v>16</v>
      </c>
      <c r="H133">
        <v>0</v>
      </c>
      <c r="I133" s="1">
        <v>1614</v>
      </c>
      <c r="J133" s="2">
        <v>150740</v>
      </c>
      <c r="K133">
        <f t="shared" si="2"/>
        <v>256</v>
      </c>
    </row>
    <row r="134" spans="1:11" x14ac:dyDescent="0.3">
      <c r="A134" t="s">
        <v>159</v>
      </c>
      <c r="B134" t="s">
        <v>12</v>
      </c>
      <c r="C134" t="s">
        <v>21</v>
      </c>
      <c r="D134" t="s">
        <v>152</v>
      </c>
      <c r="E134" t="s">
        <v>15</v>
      </c>
      <c r="F134">
        <v>23</v>
      </c>
      <c r="G134">
        <v>22</v>
      </c>
      <c r="H134">
        <v>0</v>
      </c>
      <c r="I134" s="1">
        <v>2318</v>
      </c>
      <c r="J134" s="2">
        <v>150740</v>
      </c>
      <c r="K134">
        <f t="shared" si="2"/>
        <v>506</v>
      </c>
    </row>
    <row r="135" spans="1:11" x14ac:dyDescent="0.3">
      <c r="A135" t="s">
        <v>160</v>
      </c>
      <c r="B135" t="s">
        <v>12</v>
      </c>
      <c r="C135" t="s">
        <v>21</v>
      </c>
      <c r="D135" t="s">
        <v>152</v>
      </c>
      <c r="E135" t="s">
        <v>15</v>
      </c>
      <c r="F135">
        <v>13</v>
      </c>
      <c r="G135">
        <v>13</v>
      </c>
      <c r="H135">
        <v>0</v>
      </c>
      <c r="I135" s="1">
        <v>1309</v>
      </c>
      <c r="J135" s="2">
        <v>150740</v>
      </c>
      <c r="K135">
        <f t="shared" si="2"/>
        <v>169</v>
      </c>
    </row>
    <row r="136" spans="1:11" x14ac:dyDescent="0.3">
      <c r="A136" t="s">
        <v>161</v>
      </c>
      <c r="B136" t="s">
        <v>12</v>
      </c>
      <c r="C136" t="s">
        <v>21</v>
      </c>
      <c r="D136" t="s">
        <v>152</v>
      </c>
      <c r="E136" t="s">
        <v>15</v>
      </c>
      <c r="F136">
        <v>13</v>
      </c>
      <c r="G136">
        <v>13</v>
      </c>
      <c r="H136">
        <v>0</v>
      </c>
      <c r="I136" s="1">
        <v>1307</v>
      </c>
      <c r="J136" s="2">
        <v>150740</v>
      </c>
      <c r="K136">
        <f t="shared" si="2"/>
        <v>169</v>
      </c>
    </row>
    <row r="137" spans="1:11" x14ac:dyDescent="0.3">
      <c r="A137" t="s">
        <v>162</v>
      </c>
      <c r="B137" t="s">
        <v>12</v>
      </c>
      <c r="C137" t="s">
        <v>27</v>
      </c>
      <c r="D137" t="s">
        <v>152</v>
      </c>
      <c r="E137" t="s">
        <v>15</v>
      </c>
      <c r="F137">
        <v>114</v>
      </c>
      <c r="G137">
        <v>107</v>
      </c>
      <c r="H137">
        <v>0</v>
      </c>
      <c r="I137" s="1">
        <v>11479</v>
      </c>
      <c r="J137" s="2">
        <v>126105</v>
      </c>
      <c r="K137">
        <f t="shared" si="2"/>
        <v>12198</v>
      </c>
    </row>
    <row r="138" spans="1:11" x14ac:dyDescent="0.3">
      <c r="A138" t="s">
        <v>163</v>
      </c>
      <c r="B138" t="s">
        <v>12</v>
      </c>
      <c r="C138" t="s">
        <v>27</v>
      </c>
      <c r="D138" t="s">
        <v>152</v>
      </c>
      <c r="E138" t="s">
        <v>15</v>
      </c>
      <c r="F138">
        <v>37</v>
      </c>
      <c r="G138">
        <v>33</v>
      </c>
      <c r="H138">
        <v>0</v>
      </c>
      <c r="I138" s="1">
        <v>3723</v>
      </c>
      <c r="J138" s="2">
        <v>150740</v>
      </c>
      <c r="K138">
        <f t="shared" si="2"/>
        <v>1221</v>
      </c>
    </row>
    <row r="139" spans="1:11" x14ac:dyDescent="0.3">
      <c r="A139" t="s">
        <v>164</v>
      </c>
      <c r="B139" t="s">
        <v>12</v>
      </c>
      <c r="C139" t="s">
        <v>27</v>
      </c>
      <c r="D139" t="s">
        <v>152</v>
      </c>
      <c r="E139" t="s">
        <v>15</v>
      </c>
      <c r="F139">
        <v>33</v>
      </c>
      <c r="G139">
        <v>29</v>
      </c>
      <c r="H139">
        <v>0</v>
      </c>
      <c r="I139" s="1">
        <v>3327</v>
      </c>
      <c r="J139" s="2">
        <v>150740</v>
      </c>
      <c r="K139">
        <f t="shared" si="2"/>
        <v>957</v>
      </c>
    </row>
    <row r="140" spans="1:11" x14ac:dyDescent="0.3">
      <c r="A140" t="s">
        <v>165</v>
      </c>
      <c r="B140" t="s">
        <v>12</v>
      </c>
      <c r="C140" t="s">
        <v>27</v>
      </c>
      <c r="D140" t="s">
        <v>152</v>
      </c>
      <c r="E140" t="s">
        <v>15</v>
      </c>
      <c r="F140">
        <v>31</v>
      </c>
      <c r="G140">
        <v>27</v>
      </c>
      <c r="H140">
        <v>0</v>
      </c>
      <c r="I140" s="1">
        <v>3125</v>
      </c>
      <c r="J140" s="2">
        <v>150740</v>
      </c>
      <c r="K140">
        <f t="shared" si="2"/>
        <v>837</v>
      </c>
    </row>
    <row r="141" spans="1:11" x14ac:dyDescent="0.3">
      <c r="A141" t="s">
        <v>166</v>
      </c>
      <c r="B141" t="s">
        <v>12</v>
      </c>
      <c r="C141" t="s">
        <v>27</v>
      </c>
      <c r="D141" t="s">
        <v>152</v>
      </c>
      <c r="E141" t="s">
        <v>15</v>
      </c>
      <c r="F141">
        <v>32</v>
      </c>
      <c r="G141">
        <v>28</v>
      </c>
      <c r="H141">
        <v>0</v>
      </c>
      <c r="I141" s="1">
        <v>3222</v>
      </c>
      <c r="J141" s="2">
        <v>150740</v>
      </c>
      <c r="K141">
        <f t="shared" si="2"/>
        <v>896</v>
      </c>
    </row>
    <row r="142" spans="1:11" x14ac:dyDescent="0.3">
      <c r="A142" t="s">
        <v>167</v>
      </c>
      <c r="B142" t="s">
        <v>12</v>
      </c>
      <c r="C142" t="s">
        <v>35</v>
      </c>
      <c r="D142" t="s">
        <v>152</v>
      </c>
      <c r="E142" t="s">
        <v>15</v>
      </c>
      <c r="F142">
        <v>155</v>
      </c>
      <c r="G142">
        <v>143</v>
      </c>
      <c r="H142">
        <v>1</v>
      </c>
      <c r="I142" s="1">
        <v>15697</v>
      </c>
      <c r="J142" s="2">
        <v>119562</v>
      </c>
      <c r="K142">
        <f t="shared" si="2"/>
        <v>22166.2</v>
      </c>
    </row>
    <row r="143" spans="1:11" x14ac:dyDescent="0.3">
      <c r="A143" t="s">
        <v>168</v>
      </c>
      <c r="B143" t="s">
        <v>12</v>
      </c>
      <c r="C143" t="s">
        <v>35</v>
      </c>
      <c r="D143" t="s">
        <v>152</v>
      </c>
      <c r="E143" t="s">
        <v>15</v>
      </c>
      <c r="F143">
        <v>26</v>
      </c>
      <c r="G143">
        <v>25</v>
      </c>
      <c r="H143">
        <v>1</v>
      </c>
      <c r="I143" s="1">
        <v>2718</v>
      </c>
      <c r="J143" s="2">
        <v>150740</v>
      </c>
      <c r="K143">
        <f t="shared" si="2"/>
        <v>651.20000000000005</v>
      </c>
    </row>
    <row r="144" spans="1:11" x14ac:dyDescent="0.3">
      <c r="A144" t="s">
        <v>169</v>
      </c>
      <c r="B144" t="s">
        <v>12</v>
      </c>
      <c r="C144" t="s">
        <v>35</v>
      </c>
      <c r="D144" t="s">
        <v>152</v>
      </c>
      <c r="E144" t="s">
        <v>15</v>
      </c>
      <c r="F144">
        <v>30</v>
      </c>
      <c r="G144">
        <v>29</v>
      </c>
      <c r="H144">
        <v>1</v>
      </c>
      <c r="I144" s="1">
        <v>3121</v>
      </c>
      <c r="J144" s="2">
        <v>150740</v>
      </c>
      <c r="K144">
        <f t="shared" si="2"/>
        <v>871.2</v>
      </c>
    </row>
    <row r="145" spans="1:11" x14ac:dyDescent="0.3">
      <c r="A145" t="s">
        <v>170</v>
      </c>
      <c r="B145" t="s">
        <v>12</v>
      </c>
      <c r="C145" t="s">
        <v>35</v>
      </c>
      <c r="D145" t="s">
        <v>152</v>
      </c>
      <c r="E145" t="s">
        <v>15</v>
      </c>
      <c r="F145">
        <v>31</v>
      </c>
      <c r="G145">
        <v>31</v>
      </c>
      <c r="H145">
        <v>0</v>
      </c>
      <c r="I145" s="1">
        <v>3122</v>
      </c>
      <c r="J145" s="2">
        <v>150740</v>
      </c>
      <c r="K145">
        <f t="shared" si="2"/>
        <v>961</v>
      </c>
    </row>
    <row r="146" spans="1:11" x14ac:dyDescent="0.3">
      <c r="A146" t="s">
        <v>171</v>
      </c>
      <c r="B146" t="s">
        <v>12</v>
      </c>
      <c r="C146" t="s">
        <v>35</v>
      </c>
      <c r="D146" t="s">
        <v>152</v>
      </c>
      <c r="E146" t="s">
        <v>15</v>
      </c>
      <c r="F146">
        <v>28</v>
      </c>
      <c r="G146">
        <v>28</v>
      </c>
      <c r="H146">
        <v>0</v>
      </c>
      <c r="I146" s="1">
        <v>2818</v>
      </c>
      <c r="J146" s="2">
        <v>150740</v>
      </c>
      <c r="K146">
        <f t="shared" si="2"/>
        <v>784</v>
      </c>
    </row>
    <row r="147" spans="1:11" x14ac:dyDescent="0.3">
      <c r="A147" t="s">
        <v>172</v>
      </c>
      <c r="B147" t="s">
        <v>12</v>
      </c>
      <c r="C147" t="s">
        <v>42</v>
      </c>
      <c r="D147" t="s">
        <v>152</v>
      </c>
      <c r="E147" t="s">
        <v>15</v>
      </c>
      <c r="F147">
        <v>50</v>
      </c>
      <c r="G147">
        <v>49</v>
      </c>
      <c r="H147">
        <v>0</v>
      </c>
      <c r="I147" s="1">
        <v>5038</v>
      </c>
      <c r="J147" s="2">
        <v>150740</v>
      </c>
      <c r="K147">
        <f t="shared" si="2"/>
        <v>2450</v>
      </c>
    </row>
    <row r="148" spans="1:11" x14ac:dyDescent="0.3">
      <c r="A148" t="s">
        <v>173</v>
      </c>
      <c r="B148" t="s">
        <v>12</v>
      </c>
      <c r="C148" t="s">
        <v>42</v>
      </c>
      <c r="D148" t="s">
        <v>152</v>
      </c>
      <c r="E148" t="s">
        <v>15</v>
      </c>
      <c r="F148">
        <v>101</v>
      </c>
      <c r="G148">
        <v>98</v>
      </c>
      <c r="H148">
        <v>0</v>
      </c>
      <c r="I148" s="1">
        <v>10173</v>
      </c>
      <c r="J148" s="2">
        <v>128887</v>
      </c>
      <c r="K148">
        <f t="shared" si="2"/>
        <v>9898</v>
      </c>
    </row>
    <row r="149" spans="1:11" x14ac:dyDescent="0.3">
      <c r="A149" t="s">
        <v>174</v>
      </c>
      <c r="B149" t="s">
        <v>12</v>
      </c>
      <c r="C149" t="s">
        <v>42</v>
      </c>
      <c r="D149" t="s">
        <v>152</v>
      </c>
      <c r="E149" t="s">
        <v>15</v>
      </c>
      <c r="F149">
        <v>21</v>
      </c>
      <c r="G149">
        <v>21</v>
      </c>
      <c r="H149">
        <v>0</v>
      </c>
      <c r="I149" s="1">
        <v>2118</v>
      </c>
      <c r="J149" s="2">
        <v>150740</v>
      </c>
      <c r="K149">
        <f t="shared" si="2"/>
        <v>441</v>
      </c>
    </row>
    <row r="150" spans="1:11" x14ac:dyDescent="0.3">
      <c r="A150" t="s">
        <v>175</v>
      </c>
      <c r="B150" t="s">
        <v>12</v>
      </c>
      <c r="C150" t="s">
        <v>42</v>
      </c>
      <c r="D150" t="s">
        <v>152</v>
      </c>
      <c r="E150" t="s">
        <v>15</v>
      </c>
      <c r="F150">
        <v>15</v>
      </c>
      <c r="G150">
        <v>15</v>
      </c>
      <c r="H150">
        <v>0</v>
      </c>
      <c r="I150" s="1">
        <v>1512</v>
      </c>
      <c r="J150" s="2">
        <v>150740</v>
      </c>
      <c r="K150">
        <f t="shared" si="2"/>
        <v>225</v>
      </c>
    </row>
    <row r="151" spans="1:11" x14ac:dyDescent="0.3">
      <c r="A151" t="s">
        <v>176</v>
      </c>
      <c r="B151" t="s">
        <v>12</v>
      </c>
      <c r="C151" t="s">
        <v>42</v>
      </c>
      <c r="D151" t="s">
        <v>152</v>
      </c>
      <c r="E151" t="s">
        <v>15</v>
      </c>
      <c r="F151">
        <v>11</v>
      </c>
      <c r="G151">
        <v>11</v>
      </c>
      <c r="H151">
        <v>0</v>
      </c>
      <c r="I151" s="1">
        <v>1109</v>
      </c>
      <c r="J151" s="2">
        <v>150740</v>
      </c>
      <c r="K151">
        <f t="shared" si="2"/>
        <v>121</v>
      </c>
    </row>
    <row r="152" spans="1:11" x14ac:dyDescent="0.3">
      <c r="A152" t="s">
        <v>177</v>
      </c>
      <c r="B152" t="s">
        <v>12</v>
      </c>
      <c r="C152" t="s">
        <v>13</v>
      </c>
      <c r="D152" t="s">
        <v>178</v>
      </c>
      <c r="E152" t="s">
        <v>15</v>
      </c>
      <c r="F152">
        <v>25</v>
      </c>
      <c r="G152">
        <v>25</v>
      </c>
      <c r="H152">
        <v>0</v>
      </c>
      <c r="I152" s="1">
        <v>2518</v>
      </c>
      <c r="J152" s="2">
        <v>150740</v>
      </c>
      <c r="K152">
        <f t="shared" si="2"/>
        <v>625</v>
      </c>
    </row>
    <row r="153" spans="1:11" x14ac:dyDescent="0.3">
      <c r="A153" t="s">
        <v>179</v>
      </c>
      <c r="B153" t="s">
        <v>12</v>
      </c>
      <c r="C153" t="s">
        <v>13</v>
      </c>
      <c r="D153" t="s">
        <v>178</v>
      </c>
      <c r="E153" t="s">
        <v>15</v>
      </c>
      <c r="F153">
        <v>16</v>
      </c>
      <c r="G153">
        <v>16</v>
      </c>
      <c r="H153">
        <v>0</v>
      </c>
      <c r="I153" s="1">
        <v>1616</v>
      </c>
      <c r="J153" s="2">
        <v>150740</v>
      </c>
      <c r="K153">
        <f t="shared" si="2"/>
        <v>256</v>
      </c>
    </row>
    <row r="154" spans="1:11" x14ac:dyDescent="0.3">
      <c r="A154" t="s">
        <v>180</v>
      </c>
      <c r="B154" t="s">
        <v>12</v>
      </c>
      <c r="C154" t="s">
        <v>13</v>
      </c>
      <c r="D154" t="s">
        <v>178</v>
      </c>
      <c r="E154" t="s">
        <v>15</v>
      </c>
      <c r="F154">
        <v>14</v>
      </c>
      <c r="G154">
        <v>14</v>
      </c>
      <c r="H154">
        <v>0</v>
      </c>
      <c r="I154" s="1">
        <v>1410</v>
      </c>
      <c r="J154" s="2">
        <v>150740</v>
      </c>
      <c r="K154">
        <f t="shared" si="2"/>
        <v>196</v>
      </c>
    </row>
    <row r="155" spans="1:11" x14ac:dyDescent="0.3">
      <c r="A155" t="s">
        <v>181</v>
      </c>
      <c r="B155" t="s">
        <v>12</v>
      </c>
      <c r="C155" t="s">
        <v>13</v>
      </c>
      <c r="D155" t="s">
        <v>178</v>
      </c>
      <c r="E155" t="s">
        <v>15</v>
      </c>
      <c r="F155">
        <v>13</v>
      </c>
      <c r="G155">
        <v>13</v>
      </c>
      <c r="H155">
        <v>0</v>
      </c>
      <c r="I155" s="1">
        <v>1307</v>
      </c>
      <c r="J155" s="2">
        <v>150740</v>
      </c>
      <c r="K155">
        <f t="shared" si="2"/>
        <v>169</v>
      </c>
    </row>
    <row r="156" spans="1:11" x14ac:dyDescent="0.3">
      <c r="A156" t="s">
        <v>182</v>
      </c>
      <c r="B156" t="s">
        <v>12</v>
      </c>
      <c r="C156" t="s">
        <v>13</v>
      </c>
      <c r="D156" t="s">
        <v>178</v>
      </c>
      <c r="E156" t="s">
        <v>15</v>
      </c>
      <c r="F156">
        <v>13</v>
      </c>
      <c r="G156">
        <v>13</v>
      </c>
      <c r="H156">
        <v>0</v>
      </c>
      <c r="I156" s="1">
        <v>1307</v>
      </c>
      <c r="J156" s="2">
        <v>150740</v>
      </c>
      <c r="K156">
        <f t="shared" si="2"/>
        <v>169</v>
      </c>
    </row>
    <row r="157" spans="1:11" x14ac:dyDescent="0.3">
      <c r="A157" t="s">
        <v>183</v>
      </c>
      <c r="B157" t="s">
        <v>12</v>
      </c>
      <c r="C157" t="s">
        <v>21</v>
      </c>
      <c r="D157" t="s">
        <v>178</v>
      </c>
      <c r="E157" t="s">
        <v>15</v>
      </c>
      <c r="F157">
        <v>21</v>
      </c>
      <c r="G157">
        <v>21</v>
      </c>
      <c r="H157">
        <v>0</v>
      </c>
      <c r="I157" s="1">
        <v>2118</v>
      </c>
      <c r="J157" s="2">
        <v>150740</v>
      </c>
      <c r="K157">
        <f t="shared" si="2"/>
        <v>441</v>
      </c>
    </row>
    <row r="158" spans="1:11" x14ac:dyDescent="0.3">
      <c r="A158" t="s">
        <v>184</v>
      </c>
      <c r="B158" t="s">
        <v>12</v>
      </c>
      <c r="C158" t="s">
        <v>21</v>
      </c>
      <c r="D158" t="s">
        <v>178</v>
      </c>
      <c r="E158" t="s">
        <v>15</v>
      </c>
      <c r="F158">
        <v>16</v>
      </c>
      <c r="G158">
        <v>16</v>
      </c>
      <c r="H158">
        <v>0</v>
      </c>
      <c r="I158" s="1">
        <v>1612</v>
      </c>
      <c r="J158" s="2">
        <v>150740</v>
      </c>
      <c r="K158">
        <f t="shared" si="2"/>
        <v>256</v>
      </c>
    </row>
    <row r="159" spans="1:11" x14ac:dyDescent="0.3">
      <c r="A159" t="s">
        <v>185</v>
      </c>
      <c r="B159" t="s">
        <v>12</v>
      </c>
      <c r="C159" t="s">
        <v>21</v>
      </c>
      <c r="D159" t="s">
        <v>178</v>
      </c>
      <c r="E159" t="s">
        <v>15</v>
      </c>
      <c r="F159">
        <v>13</v>
      </c>
      <c r="G159">
        <v>13</v>
      </c>
      <c r="H159">
        <v>0</v>
      </c>
      <c r="I159" s="1">
        <v>1309</v>
      </c>
      <c r="J159" s="2">
        <v>150740</v>
      </c>
      <c r="K159">
        <f t="shared" si="2"/>
        <v>169</v>
      </c>
    </row>
    <row r="160" spans="1:11" x14ac:dyDescent="0.3">
      <c r="A160" t="s">
        <v>186</v>
      </c>
      <c r="B160" t="s">
        <v>12</v>
      </c>
      <c r="C160" t="s">
        <v>21</v>
      </c>
      <c r="D160" t="s">
        <v>178</v>
      </c>
      <c r="E160" t="s">
        <v>15</v>
      </c>
      <c r="F160">
        <v>13</v>
      </c>
      <c r="G160">
        <v>13</v>
      </c>
      <c r="H160">
        <v>0</v>
      </c>
      <c r="I160" s="1">
        <v>1309</v>
      </c>
      <c r="J160" s="2">
        <v>150740</v>
      </c>
      <c r="K160">
        <f t="shared" si="2"/>
        <v>169</v>
      </c>
    </row>
    <row r="161" spans="1:11" x14ac:dyDescent="0.3">
      <c r="A161" t="s">
        <v>187</v>
      </c>
      <c r="B161" t="s">
        <v>12</v>
      </c>
      <c r="C161" t="s">
        <v>21</v>
      </c>
      <c r="D161" t="s">
        <v>178</v>
      </c>
      <c r="E161" t="s">
        <v>15</v>
      </c>
      <c r="F161">
        <v>13</v>
      </c>
      <c r="G161">
        <v>13</v>
      </c>
      <c r="H161">
        <v>0</v>
      </c>
      <c r="I161" s="1">
        <v>1309</v>
      </c>
      <c r="J161" s="2">
        <v>150740</v>
      </c>
      <c r="K161">
        <f t="shared" si="2"/>
        <v>169</v>
      </c>
    </row>
    <row r="162" spans="1:11" x14ac:dyDescent="0.3">
      <c r="A162" t="s">
        <v>188</v>
      </c>
      <c r="B162" t="s">
        <v>12</v>
      </c>
      <c r="C162" t="s">
        <v>27</v>
      </c>
      <c r="D162" t="s">
        <v>178</v>
      </c>
      <c r="E162" t="s">
        <v>15</v>
      </c>
      <c r="F162">
        <v>58</v>
      </c>
      <c r="G162">
        <v>47</v>
      </c>
      <c r="H162">
        <v>0</v>
      </c>
      <c r="I162" s="1">
        <v>5834</v>
      </c>
      <c r="J162" s="2">
        <v>149878</v>
      </c>
      <c r="K162">
        <f t="shared" si="2"/>
        <v>2726</v>
      </c>
    </row>
    <row r="163" spans="1:11" x14ac:dyDescent="0.3">
      <c r="A163" t="s">
        <v>189</v>
      </c>
      <c r="B163" t="s">
        <v>12</v>
      </c>
      <c r="C163" t="s">
        <v>27</v>
      </c>
      <c r="D163" t="s">
        <v>178</v>
      </c>
      <c r="E163" t="s">
        <v>15</v>
      </c>
      <c r="F163">
        <v>198</v>
      </c>
      <c r="G163">
        <v>183</v>
      </c>
      <c r="H163">
        <v>0</v>
      </c>
      <c r="I163" s="1">
        <v>19929</v>
      </c>
      <c r="J163" s="2">
        <v>115461</v>
      </c>
      <c r="K163">
        <f t="shared" si="2"/>
        <v>36234</v>
      </c>
    </row>
    <row r="164" spans="1:11" x14ac:dyDescent="0.3">
      <c r="A164" t="s">
        <v>190</v>
      </c>
      <c r="B164" t="s">
        <v>12</v>
      </c>
      <c r="C164" t="s">
        <v>27</v>
      </c>
      <c r="D164" t="s">
        <v>178</v>
      </c>
      <c r="E164" t="s">
        <v>15</v>
      </c>
      <c r="F164">
        <v>38</v>
      </c>
      <c r="G164">
        <v>35</v>
      </c>
      <c r="H164">
        <v>0</v>
      </c>
      <c r="I164" s="1">
        <v>3830</v>
      </c>
      <c r="J164" s="2">
        <v>150740</v>
      </c>
      <c r="K164">
        <f t="shared" si="2"/>
        <v>1330</v>
      </c>
    </row>
    <row r="165" spans="1:11" x14ac:dyDescent="0.3">
      <c r="A165" t="s">
        <v>191</v>
      </c>
      <c r="B165" t="s">
        <v>12</v>
      </c>
      <c r="C165" t="s">
        <v>27</v>
      </c>
      <c r="D165" t="s">
        <v>178</v>
      </c>
      <c r="E165" t="s">
        <v>15</v>
      </c>
      <c r="F165">
        <v>37</v>
      </c>
      <c r="G165">
        <v>33</v>
      </c>
      <c r="H165">
        <v>0</v>
      </c>
      <c r="I165" s="1">
        <v>3731</v>
      </c>
      <c r="J165" s="2">
        <v>150740</v>
      </c>
      <c r="K165">
        <f t="shared" si="2"/>
        <v>1221</v>
      </c>
    </row>
    <row r="166" spans="1:11" x14ac:dyDescent="0.3">
      <c r="A166" t="s">
        <v>192</v>
      </c>
      <c r="B166" t="s">
        <v>12</v>
      </c>
      <c r="C166" t="s">
        <v>27</v>
      </c>
      <c r="D166" t="s">
        <v>178</v>
      </c>
      <c r="E166" t="s">
        <v>15</v>
      </c>
      <c r="F166">
        <v>35</v>
      </c>
      <c r="G166">
        <v>31</v>
      </c>
      <c r="H166">
        <v>0</v>
      </c>
      <c r="I166" s="1">
        <v>3526</v>
      </c>
      <c r="J166" s="2">
        <v>150740</v>
      </c>
      <c r="K166">
        <f t="shared" si="2"/>
        <v>1085</v>
      </c>
    </row>
    <row r="167" spans="1:11" x14ac:dyDescent="0.3">
      <c r="A167" t="s">
        <v>193</v>
      </c>
      <c r="B167" t="s">
        <v>12</v>
      </c>
      <c r="C167" t="s">
        <v>35</v>
      </c>
      <c r="D167" t="s">
        <v>178</v>
      </c>
      <c r="E167" t="s">
        <v>30</v>
      </c>
      <c r="F167">
        <v>300</v>
      </c>
      <c r="G167">
        <v>254</v>
      </c>
      <c r="H167">
        <v>0</v>
      </c>
      <c r="I167" s="1">
        <v>30187</v>
      </c>
      <c r="J167" t="s">
        <v>31</v>
      </c>
      <c r="K167">
        <f t="shared" si="2"/>
        <v>114300</v>
      </c>
    </row>
    <row r="168" spans="1:11" x14ac:dyDescent="0.3">
      <c r="A168" t="s">
        <v>194</v>
      </c>
      <c r="B168" t="s">
        <v>12</v>
      </c>
      <c r="C168" t="s">
        <v>35</v>
      </c>
      <c r="D168" t="s">
        <v>178</v>
      </c>
      <c r="E168" t="s">
        <v>30</v>
      </c>
      <c r="F168">
        <v>300</v>
      </c>
      <c r="G168">
        <v>277</v>
      </c>
      <c r="H168">
        <v>1</v>
      </c>
      <c r="I168" s="1">
        <v>30270</v>
      </c>
      <c r="J168" t="s">
        <v>195</v>
      </c>
      <c r="K168">
        <f t="shared" si="2"/>
        <v>124651.79999999999</v>
      </c>
    </row>
    <row r="169" spans="1:11" x14ac:dyDescent="0.3">
      <c r="A169" t="s">
        <v>196</v>
      </c>
      <c r="B169" t="s">
        <v>12</v>
      </c>
      <c r="C169" t="s">
        <v>35</v>
      </c>
      <c r="D169" t="s">
        <v>178</v>
      </c>
      <c r="E169" t="s">
        <v>30</v>
      </c>
      <c r="F169">
        <v>300</v>
      </c>
      <c r="G169">
        <v>256</v>
      </c>
      <c r="H169">
        <v>0</v>
      </c>
      <c r="I169" s="1">
        <v>30187</v>
      </c>
      <c r="J169" t="s">
        <v>195</v>
      </c>
      <c r="K169">
        <f t="shared" si="2"/>
        <v>115200</v>
      </c>
    </row>
    <row r="170" spans="1:11" x14ac:dyDescent="0.3">
      <c r="A170" t="s">
        <v>197</v>
      </c>
      <c r="B170" t="s">
        <v>12</v>
      </c>
      <c r="C170" t="s">
        <v>35</v>
      </c>
      <c r="D170" t="s">
        <v>178</v>
      </c>
      <c r="E170" t="s">
        <v>30</v>
      </c>
      <c r="F170">
        <v>300</v>
      </c>
      <c r="G170">
        <v>280</v>
      </c>
      <c r="H170">
        <v>0</v>
      </c>
      <c r="I170" s="1">
        <v>30194</v>
      </c>
      <c r="J170" t="s">
        <v>31</v>
      </c>
      <c r="K170">
        <f t="shared" si="2"/>
        <v>126000</v>
      </c>
    </row>
    <row r="171" spans="1:11" x14ac:dyDescent="0.3">
      <c r="A171" t="s">
        <v>198</v>
      </c>
      <c r="B171" t="s">
        <v>12</v>
      </c>
      <c r="C171" t="s">
        <v>35</v>
      </c>
      <c r="D171" t="s">
        <v>178</v>
      </c>
      <c r="E171" t="s">
        <v>30</v>
      </c>
      <c r="F171">
        <v>300</v>
      </c>
      <c r="G171">
        <v>284</v>
      </c>
      <c r="H171">
        <v>1</v>
      </c>
      <c r="I171" s="1">
        <v>30270</v>
      </c>
      <c r="J171" t="s">
        <v>31</v>
      </c>
      <c r="K171">
        <f t="shared" si="2"/>
        <v>127801.79999999999</v>
      </c>
    </row>
    <row r="172" spans="1:11" x14ac:dyDescent="0.3">
      <c r="A172" t="s">
        <v>199</v>
      </c>
      <c r="B172" t="s">
        <v>12</v>
      </c>
      <c r="C172" t="s">
        <v>42</v>
      </c>
      <c r="D172" t="s">
        <v>178</v>
      </c>
      <c r="E172" t="s">
        <v>15</v>
      </c>
      <c r="F172">
        <v>30</v>
      </c>
      <c r="G172">
        <v>30</v>
      </c>
      <c r="H172">
        <v>0</v>
      </c>
      <c r="I172" s="1">
        <v>3018</v>
      </c>
      <c r="J172" s="2">
        <v>150740</v>
      </c>
      <c r="K172">
        <f t="shared" si="2"/>
        <v>900</v>
      </c>
    </row>
    <row r="173" spans="1:11" x14ac:dyDescent="0.3">
      <c r="A173" t="s">
        <v>200</v>
      </c>
      <c r="B173" t="s">
        <v>12</v>
      </c>
      <c r="C173" t="s">
        <v>42</v>
      </c>
      <c r="D173" t="s">
        <v>178</v>
      </c>
      <c r="E173" t="s">
        <v>15</v>
      </c>
      <c r="F173">
        <v>55</v>
      </c>
      <c r="G173">
        <v>53</v>
      </c>
      <c r="H173">
        <v>0</v>
      </c>
      <c r="I173" s="1">
        <v>5540</v>
      </c>
      <c r="J173" s="2">
        <v>150740</v>
      </c>
      <c r="K173">
        <f t="shared" si="2"/>
        <v>2915</v>
      </c>
    </row>
    <row r="174" spans="1:11" x14ac:dyDescent="0.3">
      <c r="A174" t="s">
        <v>201</v>
      </c>
      <c r="B174" t="s">
        <v>12</v>
      </c>
      <c r="C174" t="s">
        <v>42</v>
      </c>
      <c r="D174" t="s">
        <v>178</v>
      </c>
      <c r="E174" t="s">
        <v>15</v>
      </c>
      <c r="F174">
        <v>68</v>
      </c>
      <c r="G174">
        <v>65</v>
      </c>
      <c r="H174">
        <v>0</v>
      </c>
      <c r="I174" s="1">
        <v>6850</v>
      </c>
      <c r="J174" s="2">
        <v>142867</v>
      </c>
      <c r="K174">
        <f t="shared" si="2"/>
        <v>4420</v>
      </c>
    </row>
    <row r="175" spans="1:11" x14ac:dyDescent="0.3">
      <c r="A175" t="s">
        <v>202</v>
      </c>
      <c r="B175" t="s">
        <v>12</v>
      </c>
      <c r="C175" t="s">
        <v>42</v>
      </c>
      <c r="D175" t="s">
        <v>178</v>
      </c>
      <c r="E175" t="s">
        <v>15</v>
      </c>
      <c r="F175">
        <v>25</v>
      </c>
      <c r="G175">
        <v>25</v>
      </c>
      <c r="H175">
        <v>0</v>
      </c>
      <c r="I175" s="1">
        <v>2515</v>
      </c>
      <c r="J175" s="2">
        <v>150740</v>
      </c>
      <c r="K175">
        <f t="shared" si="2"/>
        <v>625</v>
      </c>
    </row>
    <row r="176" spans="1:11" x14ac:dyDescent="0.3">
      <c r="A176" t="s">
        <v>203</v>
      </c>
      <c r="B176" t="s">
        <v>12</v>
      </c>
      <c r="C176" t="s">
        <v>42</v>
      </c>
      <c r="D176" t="s">
        <v>178</v>
      </c>
      <c r="E176" t="s">
        <v>15</v>
      </c>
      <c r="F176">
        <v>29</v>
      </c>
      <c r="G176">
        <v>29</v>
      </c>
      <c r="H176">
        <v>0</v>
      </c>
      <c r="I176" s="1">
        <v>2922</v>
      </c>
      <c r="J176" s="2">
        <v>150740</v>
      </c>
      <c r="K176">
        <f t="shared" si="2"/>
        <v>841</v>
      </c>
    </row>
    <row r="177" spans="1:11" x14ac:dyDescent="0.3">
      <c r="A177" t="s">
        <v>204</v>
      </c>
      <c r="B177" t="s">
        <v>12</v>
      </c>
      <c r="C177" t="s">
        <v>13</v>
      </c>
      <c r="D177" t="s">
        <v>205</v>
      </c>
      <c r="E177" t="s">
        <v>15</v>
      </c>
      <c r="F177">
        <v>45</v>
      </c>
      <c r="G177">
        <v>45</v>
      </c>
      <c r="H177">
        <v>0</v>
      </c>
      <c r="I177" s="1">
        <v>4526</v>
      </c>
      <c r="J177" s="2">
        <v>150740</v>
      </c>
      <c r="K177">
        <f t="shared" si="2"/>
        <v>2025</v>
      </c>
    </row>
    <row r="178" spans="1:11" x14ac:dyDescent="0.3">
      <c r="A178" t="s">
        <v>206</v>
      </c>
      <c r="B178" t="s">
        <v>12</v>
      </c>
      <c r="C178" t="s">
        <v>13</v>
      </c>
      <c r="D178" t="s">
        <v>205</v>
      </c>
      <c r="E178" t="s">
        <v>15</v>
      </c>
      <c r="F178">
        <v>21</v>
      </c>
      <c r="G178">
        <v>21</v>
      </c>
      <c r="H178">
        <v>0</v>
      </c>
      <c r="I178" s="1">
        <v>2116</v>
      </c>
      <c r="J178" s="2">
        <v>150740</v>
      </c>
      <c r="K178">
        <f t="shared" si="2"/>
        <v>441</v>
      </c>
    </row>
    <row r="179" spans="1:11" x14ac:dyDescent="0.3">
      <c r="A179" t="s">
        <v>207</v>
      </c>
      <c r="B179" t="s">
        <v>12</v>
      </c>
      <c r="C179" t="s">
        <v>13</v>
      </c>
      <c r="D179" t="s">
        <v>205</v>
      </c>
      <c r="E179" t="s">
        <v>15</v>
      </c>
      <c r="F179">
        <v>13</v>
      </c>
      <c r="G179">
        <v>13</v>
      </c>
      <c r="H179">
        <v>0</v>
      </c>
      <c r="I179" s="1">
        <v>1308</v>
      </c>
      <c r="J179" s="2">
        <v>150740</v>
      </c>
      <c r="K179">
        <f t="shared" si="2"/>
        <v>169</v>
      </c>
    </row>
    <row r="180" spans="1:11" x14ac:dyDescent="0.3">
      <c r="A180" t="s">
        <v>208</v>
      </c>
      <c r="B180" t="s">
        <v>12</v>
      </c>
      <c r="C180" t="s">
        <v>13</v>
      </c>
      <c r="D180" t="s">
        <v>205</v>
      </c>
      <c r="E180" t="s">
        <v>15</v>
      </c>
      <c r="F180">
        <v>13</v>
      </c>
      <c r="G180">
        <v>13</v>
      </c>
      <c r="H180">
        <v>0</v>
      </c>
      <c r="I180" s="1">
        <v>1304</v>
      </c>
      <c r="J180" s="2">
        <v>150740</v>
      </c>
      <c r="K180">
        <f t="shared" si="2"/>
        <v>169</v>
      </c>
    </row>
    <row r="181" spans="1:11" x14ac:dyDescent="0.3">
      <c r="A181" t="s">
        <v>209</v>
      </c>
      <c r="B181" t="s">
        <v>12</v>
      </c>
      <c r="C181" t="s">
        <v>13</v>
      </c>
      <c r="D181" t="s">
        <v>205</v>
      </c>
      <c r="E181" t="s">
        <v>15</v>
      </c>
      <c r="F181">
        <v>16</v>
      </c>
      <c r="G181">
        <v>16</v>
      </c>
      <c r="H181">
        <v>0</v>
      </c>
      <c r="I181" s="1">
        <v>1611</v>
      </c>
      <c r="J181" s="2">
        <v>150740</v>
      </c>
      <c r="K181">
        <f t="shared" si="2"/>
        <v>256</v>
      </c>
    </row>
    <row r="182" spans="1:11" x14ac:dyDescent="0.3">
      <c r="A182" t="s">
        <v>210</v>
      </c>
      <c r="B182" t="s">
        <v>12</v>
      </c>
      <c r="C182" t="s">
        <v>21</v>
      </c>
      <c r="D182" t="s">
        <v>205</v>
      </c>
      <c r="E182" t="s">
        <v>15</v>
      </c>
      <c r="F182">
        <v>54</v>
      </c>
      <c r="G182">
        <v>51</v>
      </c>
      <c r="H182">
        <v>0</v>
      </c>
      <c r="I182" s="1">
        <v>5436</v>
      </c>
      <c r="J182" s="2">
        <v>150740</v>
      </c>
      <c r="K182">
        <f t="shared" si="2"/>
        <v>2754</v>
      </c>
    </row>
    <row r="183" spans="1:11" x14ac:dyDescent="0.3">
      <c r="A183" t="s">
        <v>211</v>
      </c>
      <c r="B183" t="s">
        <v>12</v>
      </c>
      <c r="C183" t="s">
        <v>21</v>
      </c>
      <c r="D183" t="s">
        <v>205</v>
      </c>
      <c r="E183" t="s">
        <v>15</v>
      </c>
      <c r="F183">
        <v>17</v>
      </c>
      <c r="G183">
        <v>17</v>
      </c>
      <c r="H183">
        <v>0</v>
      </c>
      <c r="I183" s="1">
        <v>1708</v>
      </c>
      <c r="J183" s="2">
        <v>150740</v>
      </c>
      <c r="K183">
        <f t="shared" si="2"/>
        <v>289</v>
      </c>
    </row>
    <row r="184" spans="1:11" x14ac:dyDescent="0.3">
      <c r="A184" t="s">
        <v>212</v>
      </c>
      <c r="B184" t="s">
        <v>12</v>
      </c>
      <c r="C184" t="s">
        <v>21</v>
      </c>
      <c r="D184" t="s">
        <v>205</v>
      </c>
      <c r="E184" t="s">
        <v>15</v>
      </c>
      <c r="F184">
        <v>13</v>
      </c>
      <c r="G184">
        <v>13</v>
      </c>
      <c r="H184">
        <v>0</v>
      </c>
      <c r="I184" s="1">
        <v>1309</v>
      </c>
      <c r="J184" s="2">
        <v>150740</v>
      </c>
      <c r="K184">
        <f t="shared" si="2"/>
        <v>169</v>
      </c>
    </row>
    <row r="185" spans="1:11" x14ac:dyDescent="0.3">
      <c r="A185" t="s">
        <v>213</v>
      </c>
      <c r="B185" t="s">
        <v>12</v>
      </c>
      <c r="C185" t="s">
        <v>21</v>
      </c>
      <c r="D185" t="s">
        <v>205</v>
      </c>
      <c r="E185" t="s">
        <v>15</v>
      </c>
      <c r="F185">
        <v>13</v>
      </c>
      <c r="G185">
        <v>13</v>
      </c>
      <c r="H185">
        <v>0</v>
      </c>
      <c r="I185" s="1">
        <v>1312</v>
      </c>
      <c r="J185" s="2">
        <v>150740</v>
      </c>
      <c r="K185">
        <f t="shared" si="2"/>
        <v>169</v>
      </c>
    </row>
    <row r="186" spans="1:11" x14ac:dyDescent="0.3">
      <c r="A186" t="s">
        <v>214</v>
      </c>
      <c r="B186" t="s">
        <v>12</v>
      </c>
      <c r="C186" t="s">
        <v>21</v>
      </c>
      <c r="D186" t="s">
        <v>205</v>
      </c>
      <c r="E186" t="s">
        <v>15</v>
      </c>
      <c r="F186">
        <v>13</v>
      </c>
      <c r="G186">
        <v>13</v>
      </c>
      <c r="H186">
        <v>0</v>
      </c>
      <c r="I186" s="1">
        <v>1312</v>
      </c>
      <c r="J186" s="2">
        <v>150740</v>
      </c>
      <c r="K186">
        <f t="shared" si="2"/>
        <v>169</v>
      </c>
    </row>
    <row r="187" spans="1:11" x14ac:dyDescent="0.3">
      <c r="A187" t="s">
        <v>215</v>
      </c>
      <c r="B187" t="s">
        <v>12</v>
      </c>
      <c r="C187" t="s">
        <v>27</v>
      </c>
      <c r="D187" t="s">
        <v>205</v>
      </c>
      <c r="E187" t="s">
        <v>15</v>
      </c>
      <c r="F187">
        <v>89</v>
      </c>
      <c r="G187">
        <v>79</v>
      </c>
      <c r="H187">
        <v>0</v>
      </c>
      <c r="I187" s="1">
        <v>8960</v>
      </c>
      <c r="J187" s="2">
        <v>134192</v>
      </c>
      <c r="K187">
        <f t="shared" si="2"/>
        <v>7031</v>
      </c>
    </row>
    <row r="188" spans="1:11" x14ac:dyDescent="0.3">
      <c r="A188" t="s">
        <v>216</v>
      </c>
      <c r="B188" t="s">
        <v>12</v>
      </c>
      <c r="C188" t="s">
        <v>27</v>
      </c>
      <c r="D188" t="s">
        <v>205</v>
      </c>
      <c r="E188" t="s">
        <v>15</v>
      </c>
      <c r="F188">
        <v>37</v>
      </c>
      <c r="G188">
        <v>33</v>
      </c>
      <c r="H188">
        <v>0</v>
      </c>
      <c r="I188" s="1">
        <v>3720</v>
      </c>
      <c r="J188" s="2">
        <v>150740</v>
      </c>
      <c r="K188">
        <f t="shared" si="2"/>
        <v>1221</v>
      </c>
    </row>
    <row r="189" spans="1:11" x14ac:dyDescent="0.3">
      <c r="A189" t="s">
        <v>217</v>
      </c>
      <c r="B189" t="s">
        <v>12</v>
      </c>
      <c r="C189" t="s">
        <v>27</v>
      </c>
      <c r="D189" t="s">
        <v>205</v>
      </c>
      <c r="E189" t="s">
        <v>15</v>
      </c>
      <c r="F189">
        <v>35</v>
      </c>
      <c r="G189">
        <v>32</v>
      </c>
      <c r="H189">
        <v>0</v>
      </c>
      <c r="I189" s="1">
        <v>3523</v>
      </c>
      <c r="J189" s="2">
        <v>150740</v>
      </c>
      <c r="K189">
        <f t="shared" si="2"/>
        <v>1120</v>
      </c>
    </row>
    <row r="190" spans="1:11" x14ac:dyDescent="0.3">
      <c r="A190" t="s">
        <v>218</v>
      </c>
      <c r="B190" t="s">
        <v>12</v>
      </c>
      <c r="C190" t="s">
        <v>27</v>
      </c>
      <c r="D190" t="s">
        <v>205</v>
      </c>
      <c r="E190" t="s">
        <v>15</v>
      </c>
      <c r="F190">
        <v>32</v>
      </c>
      <c r="G190">
        <v>29</v>
      </c>
      <c r="H190">
        <v>0</v>
      </c>
      <c r="I190" s="1">
        <v>3215</v>
      </c>
      <c r="J190" s="2">
        <v>150740</v>
      </c>
      <c r="K190">
        <f t="shared" si="2"/>
        <v>928</v>
      </c>
    </row>
    <row r="191" spans="1:11" x14ac:dyDescent="0.3">
      <c r="A191" t="s">
        <v>219</v>
      </c>
      <c r="B191" t="s">
        <v>12</v>
      </c>
      <c r="C191" t="s">
        <v>27</v>
      </c>
      <c r="D191" t="s">
        <v>205</v>
      </c>
      <c r="E191" t="s">
        <v>15</v>
      </c>
      <c r="F191">
        <v>32</v>
      </c>
      <c r="G191">
        <v>29</v>
      </c>
      <c r="H191">
        <v>0</v>
      </c>
      <c r="I191" s="1">
        <v>3217</v>
      </c>
      <c r="J191" s="2">
        <v>150740</v>
      </c>
      <c r="K191">
        <f t="shared" si="2"/>
        <v>928</v>
      </c>
    </row>
    <row r="192" spans="1:11" x14ac:dyDescent="0.3">
      <c r="A192" t="s">
        <v>220</v>
      </c>
      <c r="B192" t="s">
        <v>12</v>
      </c>
      <c r="C192" t="s">
        <v>35</v>
      </c>
      <c r="D192" t="s">
        <v>205</v>
      </c>
      <c r="E192" t="s">
        <v>15</v>
      </c>
      <c r="F192">
        <v>95</v>
      </c>
      <c r="G192">
        <v>86</v>
      </c>
      <c r="H192">
        <v>1</v>
      </c>
      <c r="I192" s="1">
        <v>9657</v>
      </c>
      <c r="J192" s="2">
        <v>131756</v>
      </c>
      <c r="K192">
        <f t="shared" si="2"/>
        <v>8171.2</v>
      </c>
    </row>
    <row r="193" spans="1:11" x14ac:dyDescent="0.3">
      <c r="A193" t="s">
        <v>221</v>
      </c>
      <c r="B193" t="s">
        <v>12</v>
      </c>
      <c r="C193" t="s">
        <v>35</v>
      </c>
      <c r="D193" t="s">
        <v>205</v>
      </c>
      <c r="E193" t="s">
        <v>15</v>
      </c>
      <c r="F193">
        <v>41</v>
      </c>
      <c r="G193">
        <v>40</v>
      </c>
      <c r="H193">
        <v>1</v>
      </c>
      <c r="I193" s="1">
        <v>4227</v>
      </c>
      <c r="J193" s="2">
        <v>150740</v>
      </c>
      <c r="K193">
        <f t="shared" si="2"/>
        <v>1641.2</v>
      </c>
    </row>
    <row r="194" spans="1:11" x14ac:dyDescent="0.3">
      <c r="A194" t="s">
        <v>222</v>
      </c>
      <c r="B194" t="s">
        <v>12</v>
      </c>
      <c r="C194" t="s">
        <v>35</v>
      </c>
      <c r="D194" t="s">
        <v>205</v>
      </c>
      <c r="E194" t="s">
        <v>15</v>
      </c>
      <c r="F194">
        <v>25</v>
      </c>
      <c r="G194">
        <v>25</v>
      </c>
      <c r="H194">
        <v>0</v>
      </c>
      <c r="I194" s="1">
        <v>2518</v>
      </c>
      <c r="J194" s="2">
        <v>150740</v>
      </c>
      <c r="K194">
        <f t="shared" si="2"/>
        <v>625</v>
      </c>
    </row>
    <row r="195" spans="1:11" x14ac:dyDescent="0.3">
      <c r="A195" t="s">
        <v>223</v>
      </c>
      <c r="B195" t="s">
        <v>12</v>
      </c>
      <c r="C195" t="s">
        <v>35</v>
      </c>
      <c r="D195" t="s">
        <v>205</v>
      </c>
      <c r="E195" t="s">
        <v>15</v>
      </c>
      <c r="F195">
        <v>19</v>
      </c>
      <c r="G195">
        <v>19</v>
      </c>
      <c r="H195">
        <v>0</v>
      </c>
      <c r="I195" s="1">
        <v>1917</v>
      </c>
      <c r="J195" s="2">
        <v>150740</v>
      </c>
      <c r="K195">
        <f t="shared" ref="K195:K258" si="3">SUM(((F195*G195)+(H195*1.2))*IF(E195="complete",1,1.5))</f>
        <v>361</v>
      </c>
    </row>
    <row r="196" spans="1:11" x14ac:dyDescent="0.3">
      <c r="A196" t="s">
        <v>224</v>
      </c>
      <c r="B196" t="s">
        <v>12</v>
      </c>
      <c r="C196" t="s">
        <v>35</v>
      </c>
      <c r="D196" t="s">
        <v>205</v>
      </c>
      <c r="E196" t="s">
        <v>15</v>
      </c>
      <c r="F196">
        <v>19</v>
      </c>
      <c r="G196">
        <v>19</v>
      </c>
      <c r="H196">
        <v>0</v>
      </c>
      <c r="I196" s="1">
        <v>1910</v>
      </c>
      <c r="J196" s="2">
        <v>150740</v>
      </c>
      <c r="K196">
        <f t="shared" si="3"/>
        <v>361</v>
      </c>
    </row>
    <row r="197" spans="1:11" x14ac:dyDescent="0.3">
      <c r="A197" t="s">
        <v>225</v>
      </c>
      <c r="B197" t="s">
        <v>12</v>
      </c>
      <c r="C197" t="s">
        <v>42</v>
      </c>
      <c r="D197" t="s">
        <v>205</v>
      </c>
      <c r="E197" t="s">
        <v>15</v>
      </c>
      <c r="F197">
        <v>60</v>
      </c>
      <c r="G197">
        <v>59</v>
      </c>
      <c r="H197">
        <v>0</v>
      </c>
      <c r="I197" s="1">
        <v>6046</v>
      </c>
      <c r="J197" s="2">
        <v>147802</v>
      </c>
      <c r="K197">
        <f t="shared" si="3"/>
        <v>3540</v>
      </c>
    </row>
    <row r="198" spans="1:11" x14ac:dyDescent="0.3">
      <c r="A198" t="s">
        <v>226</v>
      </c>
      <c r="B198" t="s">
        <v>12</v>
      </c>
      <c r="C198" t="s">
        <v>42</v>
      </c>
      <c r="D198" t="s">
        <v>205</v>
      </c>
      <c r="E198" t="s">
        <v>15</v>
      </c>
      <c r="F198">
        <v>23</v>
      </c>
      <c r="G198">
        <v>23</v>
      </c>
      <c r="H198">
        <v>0</v>
      </c>
      <c r="I198" s="1">
        <v>2316</v>
      </c>
      <c r="J198" s="2">
        <v>150740</v>
      </c>
      <c r="K198">
        <f t="shared" si="3"/>
        <v>529</v>
      </c>
    </row>
    <row r="199" spans="1:11" x14ac:dyDescent="0.3">
      <c r="A199" t="s">
        <v>227</v>
      </c>
      <c r="B199" t="s">
        <v>12</v>
      </c>
      <c r="C199" t="s">
        <v>42</v>
      </c>
      <c r="D199" t="s">
        <v>205</v>
      </c>
      <c r="E199" t="s">
        <v>15</v>
      </c>
      <c r="F199">
        <v>28</v>
      </c>
      <c r="G199">
        <v>28</v>
      </c>
      <c r="H199">
        <v>0</v>
      </c>
      <c r="I199" s="1">
        <v>2821</v>
      </c>
      <c r="J199" s="2">
        <v>150740</v>
      </c>
      <c r="K199">
        <f t="shared" si="3"/>
        <v>784</v>
      </c>
    </row>
    <row r="200" spans="1:11" x14ac:dyDescent="0.3">
      <c r="A200" t="s">
        <v>228</v>
      </c>
      <c r="B200" t="s">
        <v>12</v>
      </c>
      <c r="C200" t="s">
        <v>42</v>
      </c>
      <c r="D200" t="s">
        <v>205</v>
      </c>
      <c r="E200" t="s">
        <v>15</v>
      </c>
      <c r="F200">
        <v>18</v>
      </c>
      <c r="G200">
        <v>18</v>
      </c>
      <c r="H200">
        <v>0</v>
      </c>
      <c r="I200" s="1">
        <v>1811</v>
      </c>
      <c r="J200" s="2">
        <v>150740</v>
      </c>
      <c r="K200">
        <f t="shared" si="3"/>
        <v>324</v>
      </c>
    </row>
    <row r="201" spans="1:11" x14ac:dyDescent="0.3">
      <c r="A201" t="s">
        <v>229</v>
      </c>
      <c r="B201" t="s">
        <v>12</v>
      </c>
      <c r="C201" t="s">
        <v>42</v>
      </c>
      <c r="D201" t="s">
        <v>205</v>
      </c>
      <c r="E201" t="s">
        <v>15</v>
      </c>
      <c r="F201">
        <v>78</v>
      </c>
      <c r="G201">
        <v>73</v>
      </c>
      <c r="H201">
        <v>0</v>
      </c>
      <c r="I201" s="1">
        <v>7848</v>
      </c>
      <c r="J201" s="2">
        <v>137867</v>
      </c>
      <c r="K201">
        <f t="shared" si="3"/>
        <v>5694</v>
      </c>
    </row>
    <row r="202" spans="1:11" x14ac:dyDescent="0.3">
      <c r="A202" t="s">
        <v>230</v>
      </c>
      <c r="B202" t="s">
        <v>12</v>
      </c>
      <c r="C202" t="s">
        <v>13</v>
      </c>
      <c r="D202" t="s">
        <v>231</v>
      </c>
      <c r="E202" t="s">
        <v>15</v>
      </c>
      <c r="F202">
        <v>55</v>
      </c>
      <c r="G202">
        <v>55</v>
      </c>
      <c r="H202">
        <v>0</v>
      </c>
      <c r="I202" s="1">
        <v>5525</v>
      </c>
      <c r="J202" s="2">
        <v>150740</v>
      </c>
      <c r="K202">
        <f t="shared" si="3"/>
        <v>3025</v>
      </c>
    </row>
    <row r="203" spans="1:11" x14ac:dyDescent="0.3">
      <c r="A203" t="s">
        <v>232</v>
      </c>
      <c r="B203" t="s">
        <v>12</v>
      </c>
      <c r="C203" t="s">
        <v>13</v>
      </c>
      <c r="D203" t="s">
        <v>231</v>
      </c>
      <c r="E203" t="s">
        <v>15</v>
      </c>
      <c r="F203">
        <v>19</v>
      </c>
      <c r="G203">
        <v>19</v>
      </c>
      <c r="H203">
        <v>0</v>
      </c>
      <c r="I203" s="1">
        <v>1907</v>
      </c>
      <c r="J203" s="2">
        <v>150740</v>
      </c>
      <c r="K203">
        <f t="shared" si="3"/>
        <v>361</v>
      </c>
    </row>
    <row r="204" spans="1:11" x14ac:dyDescent="0.3">
      <c r="A204" t="s">
        <v>233</v>
      </c>
      <c r="B204" t="s">
        <v>12</v>
      </c>
      <c r="C204" t="s">
        <v>13</v>
      </c>
      <c r="D204" t="s">
        <v>231</v>
      </c>
      <c r="E204" t="s">
        <v>15</v>
      </c>
      <c r="F204">
        <v>15</v>
      </c>
      <c r="G204">
        <v>15</v>
      </c>
      <c r="H204">
        <v>0</v>
      </c>
      <c r="I204" s="1">
        <v>1504</v>
      </c>
      <c r="J204" s="2">
        <v>150740</v>
      </c>
      <c r="K204">
        <f t="shared" si="3"/>
        <v>225</v>
      </c>
    </row>
    <row r="205" spans="1:11" x14ac:dyDescent="0.3">
      <c r="A205" t="s">
        <v>234</v>
      </c>
      <c r="B205" t="s">
        <v>12</v>
      </c>
      <c r="C205" t="s">
        <v>13</v>
      </c>
      <c r="D205" t="s">
        <v>231</v>
      </c>
      <c r="E205" t="s">
        <v>15</v>
      </c>
      <c r="F205">
        <v>15</v>
      </c>
      <c r="G205">
        <v>15</v>
      </c>
      <c r="H205">
        <v>0</v>
      </c>
      <c r="I205" s="1">
        <v>1510</v>
      </c>
      <c r="J205" s="2">
        <v>150740</v>
      </c>
      <c r="K205">
        <f t="shared" si="3"/>
        <v>225</v>
      </c>
    </row>
    <row r="206" spans="1:11" x14ac:dyDescent="0.3">
      <c r="A206" t="s">
        <v>235</v>
      </c>
      <c r="B206" t="s">
        <v>12</v>
      </c>
      <c r="C206" t="s">
        <v>13</v>
      </c>
      <c r="D206" t="s">
        <v>231</v>
      </c>
      <c r="E206" t="s">
        <v>15</v>
      </c>
      <c r="F206">
        <v>15</v>
      </c>
      <c r="G206">
        <v>15</v>
      </c>
      <c r="H206">
        <v>0</v>
      </c>
      <c r="I206" s="1">
        <v>1506</v>
      </c>
      <c r="J206" s="2">
        <v>150740</v>
      </c>
      <c r="K206">
        <f t="shared" si="3"/>
        <v>225</v>
      </c>
    </row>
    <row r="207" spans="1:11" x14ac:dyDescent="0.3">
      <c r="A207" t="s">
        <v>236</v>
      </c>
      <c r="B207" t="s">
        <v>12</v>
      </c>
      <c r="C207" t="s">
        <v>21</v>
      </c>
      <c r="D207" t="s">
        <v>231</v>
      </c>
      <c r="E207" t="s">
        <v>15</v>
      </c>
      <c r="F207">
        <v>17</v>
      </c>
      <c r="G207">
        <v>17</v>
      </c>
      <c r="H207">
        <v>0</v>
      </c>
      <c r="I207" s="1">
        <v>1707</v>
      </c>
      <c r="J207" s="2">
        <v>150740</v>
      </c>
      <c r="K207">
        <f t="shared" si="3"/>
        <v>289</v>
      </c>
    </row>
    <row r="208" spans="1:11" x14ac:dyDescent="0.3">
      <c r="A208" t="s">
        <v>237</v>
      </c>
      <c r="B208" t="s">
        <v>12</v>
      </c>
      <c r="C208" t="s">
        <v>21</v>
      </c>
      <c r="D208" t="s">
        <v>231</v>
      </c>
      <c r="E208" t="s">
        <v>15</v>
      </c>
      <c r="F208">
        <v>16</v>
      </c>
      <c r="G208">
        <v>16</v>
      </c>
      <c r="H208">
        <v>0</v>
      </c>
      <c r="I208" s="1">
        <v>1608</v>
      </c>
      <c r="J208" s="2">
        <v>150740</v>
      </c>
      <c r="K208">
        <f t="shared" si="3"/>
        <v>256</v>
      </c>
    </row>
    <row r="209" spans="1:11" x14ac:dyDescent="0.3">
      <c r="A209" t="s">
        <v>238</v>
      </c>
      <c r="B209" t="s">
        <v>12</v>
      </c>
      <c r="C209" t="s">
        <v>21</v>
      </c>
      <c r="D209" t="s">
        <v>231</v>
      </c>
      <c r="E209" t="s">
        <v>15</v>
      </c>
      <c r="F209">
        <v>13</v>
      </c>
      <c r="G209">
        <v>13</v>
      </c>
      <c r="H209">
        <v>0</v>
      </c>
      <c r="I209" s="1">
        <v>1303</v>
      </c>
      <c r="J209" s="2">
        <v>150740</v>
      </c>
      <c r="K209">
        <f t="shared" si="3"/>
        <v>169</v>
      </c>
    </row>
    <row r="210" spans="1:11" x14ac:dyDescent="0.3">
      <c r="A210" t="s">
        <v>239</v>
      </c>
      <c r="B210" t="s">
        <v>12</v>
      </c>
      <c r="C210" t="s">
        <v>21</v>
      </c>
      <c r="D210" t="s">
        <v>231</v>
      </c>
      <c r="E210" t="s">
        <v>15</v>
      </c>
      <c r="F210">
        <v>13</v>
      </c>
      <c r="G210">
        <v>13</v>
      </c>
      <c r="H210">
        <v>0</v>
      </c>
      <c r="I210" s="1">
        <v>1307</v>
      </c>
      <c r="J210" s="2">
        <v>150740</v>
      </c>
      <c r="K210">
        <f t="shared" si="3"/>
        <v>169</v>
      </c>
    </row>
    <row r="211" spans="1:11" x14ac:dyDescent="0.3">
      <c r="A211" t="s">
        <v>240</v>
      </c>
      <c r="B211" t="s">
        <v>12</v>
      </c>
      <c r="C211" t="s">
        <v>21</v>
      </c>
      <c r="D211" t="s">
        <v>231</v>
      </c>
      <c r="E211" t="s">
        <v>15</v>
      </c>
      <c r="F211">
        <v>13</v>
      </c>
      <c r="G211">
        <v>13</v>
      </c>
      <c r="H211">
        <v>0</v>
      </c>
      <c r="I211" s="1">
        <v>1303</v>
      </c>
      <c r="J211" s="2">
        <v>150740</v>
      </c>
      <c r="K211">
        <f t="shared" si="3"/>
        <v>169</v>
      </c>
    </row>
    <row r="212" spans="1:11" x14ac:dyDescent="0.3">
      <c r="A212" t="s">
        <v>241</v>
      </c>
      <c r="B212" t="s">
        <v>12</v>
      </c>
      <c r="C212" t="s">
        <v>27</v>
      </c>
      <c r="D212" t="s">
        <v>231</v>
      </c>
      <c r="E212" t="s">
        <v>15</v>
      </c>
      <c r="F212">
        <v>115</v>
      </c>
      <c r="G212">
        <v>98</v>
      </c>
      <c r="H212">
        <v>0</v>
      </c>
      <c r="I212" s="1">
        <v>11541</v>
      </c>
      <c r="J212" s="2">
        <v>127200</v>
      </c>
      <c r="K212">
        <f t="shared" si="3"/>
        <v>11270</v>
      </c>
    </row>
    <row r="213" spans="1:11" x14ac:dyDescent="0.3">
      <c r="A213" t="s">
        <v>242</v>
      </c>
      <c r="B213" t="s">
        <v>12</v>
      </c>
      <c r="C213" t="s">
        <v>27</v>
      </c>
      <c r="D213" t="s">
        <v>231</v>
      </c>
      <c r="E213" t="s">
        <v>15</v>
      </c>
      <c r="F213">
        <v>35</v>
      </c>
      <c r="G213">
        <v>32</v>
      </c>
      <c r="H213">
        <v>0</v>
      </c>
      <c r="I213" s="1">
        <v>3514</v>
      </c>
      <c r="J213" s="2">
        <v>150740</v>
      </c>
      <c r="K213">
        <f t="shared" si="3"/>
        <v>1120</v>
      </c>
    </row>
    <row r="214" spans="1:11" x14ac:dyDescent="0.3">
      <c r="A214" t="s">
        <v>243</v>
      </c>
      <c r="B214" t="s">
        <v>12</v>
      </c>
      <c r="C214" t="s">
        <v>27</v>
      </c>
      <c r="D214" t="s">
        <v>231</v>
      </c>
      <c r="E214" t="s">
        <v>15</v>
      </c>
      <c r="F214">
        <v>31</v>
      </c>
      <c r="G214">
        <v>27</v>
      </c>
      <c r="H214">
        <v>0</v>
      </c>
      <c r="I214" s="1">
        <v>3110</v>
      </c>
      <c r="J214" s="2">
        <v>150740</v>
      </c>
      <c r="K214">
        <f t="shared" si="3"/>
        <v>837</v>
      </c>
    </row>
    <row r="215" spans="1:11" x14ac:dyDescent="0.3">
      <c r="A215" t="s">
        <v>244</v>
      </c>
      <c r="B215" t="s">
        <v>12</v>
      </c>
      <c r="C215" t="s">
        <v>27</v>
      </c>
      <c r="D215" t="s">
        <v>231</v>
      </c>
      <c r="E215" t="s">
        <v>15</v>
      </c>
      <c r="F215">
        <v>35</v>
      </c>
      <c r="G215">
        <v>31</v>
      </c>
      <c r="H215">
        <v>0</v>
      </c>
      <c r="I215" s="1">
        <v>3508</v>
      </c>
      <c r="J215" s="2">
        <v>150740</v>
      </c>
      <c r="K215">
        <f t="shared" si="3"/>
        <v>1085</v>
      </c>
    </row>
    <row r="216" spans="1:11" x14ac:dyDescent="0.3">
      <c r="A216" t="s">
        <v>245</v>
      </c>
      <c r="B216" t="s">
        <v>12</v>
      </c>
      <c r="C216" t="s">
        <v>27</v>
      </c>
      <c r="D216" t="s">
        <v>231</v>
      </c>
      <c r="E216" t="s">
        <v>15</v>
      </c>
      <c r="F216">
        <v>32</v>
      </c>
      <c r="G216">
        <v>28</v>
      </c>
      <c r="H216">
        <v>0</v>
      </c>
      <c r="I216" s="1">
        <v>3214</v>
      </c>
      <c r="J216" s="2">
        <v>150740</v>
      </c>
      <c r="K216">
        <f t="shared" si="3"/>
        <v>896</v>
      </c>
    </row>
    <row r="217" spans="1:11" x14ac:dyDescent="0.3">
      <c r="A217" t="s">
        <v>246</v>
      </c>
      <c r="B217" t="s">
        <v>12</v>
      </c>
      <c r="C217" t="s">
        <v>35</v>
      </c>
      <c r="D217" t="s">
        <v>231</v>
      </c>
      <c r="E217" t="s">
        <v>15</v>
      </c>
      <c r="F217">
        <v>138</v>
      </c>
      <c r="G217">
        <v>133</v>
      </c>
      <c r="H217">
        <v>1</v>
      </c>
      <c r="I217" s="1">
        <v>13940</v>
      </c>
      <c r="J217" s="2">
        <v>121411</v>
      </c>
      <c r="K217">
        <f t="shared" si="3"/>
        <v>18355.2</v>
      </c>
    </row>
    <row r="218" spans="1:11" x14ac:dyDescent="0.3">
      <c r="A218" t="s">
        <v>247</v>
      </c>
      <c r="B218" t="s">
        <v>12</v>
      </c>
      <c r="C218" t="s">
        <v>35</v>
      </c>
      <c r="D218" t="s">
        <v>231</v>
      </c>
      <c r="E218" t="s">
        <v>15</v>
      </c>
      <c r="F218">
        <v>37</v>
      </c>
      <c r="G218">
        <v>36</v>
      </c>
      <c r="H218">
        <v>0</v>
      </c>
      <c r="I218" s="1">
        <v>3716</v>
      </c>
      <c r="J218" s="2">
        <v>150740</v>
      </c>
      <c r="K218">
        <f t="shared" si="3"/>
        <v>1332</v>
      </c>
    </row>
    <row r="219" spans="1:11" x14ac:dyDescent="0.3">
      <c r="A219" t="s">
        <v>248</v>
      </c>
      <c r="B219" t="s">
        <v>12</v>
      </c>
      <c r="C219" t="s">
        <v>35</v>
      </c>
      <c r="D219" t="s">
        <v>231</v>
      </c>
      <c r="E219" t="s">
        <v>15</v>
      </c>
      <c r="F219">
        <v>34</v>
      </c>
      <c r="G219">
        <v>33</v>
      </c>
      <c r="H219">
        <v>0</v>
      </c>
      <c r="I219" s="1">
        <v>3406</v>
      </c>
      <c r="J219" s="2">
        <v>150740</v>
      </c>
      <c r="K219">
        <f t="shared" si="3"/>
        <v>1122</v>
      </c>
    </row>
    <row r="220" spans="1:11" x14ac:dyDescent="0.3">
      <c r="A220" t="s">
        <v>249</v>
      </c>
      <c r="B220" t="s">
        <v>12</v>
      </c>
      <c r="C220" t="s">
        <v>35</v>
      </c>
      <c r="D220" t="s">
        <v>231</v>
      </c>
      <c r="E220" t="s">
        <v>15</v>
      </c>
      <c r="F220">
        <v>26</v>
      </c>
      <c r="G220">
        <v>26</v>
      </c>
      <c r="H220">
        <v>0</v>
      </c>
      <c r="I220" s="1">
        <v>2610</v>
      </c>
      <c r="J220" s="2">
        <v>150740</v>
      </c>
      <c r="K220">
        <f t="shared" si="3"/>
        <v>676</v>
      </c>
    </row>
    <row r="221" spans="1:11" x14ac:dyDescent="0.3">
      <c r="A221" t="s">
        <v>250</v>
      </c>
      <c r="B221" t="s">
        <v>12</v>
      </c>
      <c r="C221" t="s">
        <v>35</v>
      </c>
      <c r="D221" t="s">
        <v>231</v>
      </c>
      <c r="E221" t="s">
        <v>15</v>
      </c>
      <c r="F221">
        <v>26</v>
      </c>
      <c r="G221">
        <v>26</v>
      </c>
      <c r="H221">
        <v>0</v>
      </c>
      <c r="I221" s="1">
        <v>2614</v>
      </c>
      <c r="J221" s="2">
        <v>150740</v>
      </c>
      <c r="K221">
        <f t="shared" si="3"/>
        <v>676</v>
      </c>
    </row>
    <row r="222" spans="1:11" x14ac:dyDescent="0.3">
      <c r="A222" t="s">
        <v>251</v>
      </c>
      <c r="B222" t="s">
        <v>12</v>
      </c>
      <c r="C222" t="s">
        <v>42</v>
      </c>
      <c r="D222" t="s">
        <v>231</v>
      </c>
      <c r="E222" t="s">
        <v>15</v>
      </c>
      <c r="F222">
        <v>28</v>
      </c>
      <c r="G222">
        <v>28</v>
      </c>
      <c r="H222">
        <v>0</v>
      </c>
      <c r="I222" s="1">
        <v>2810</v>
      </c>
      <c r="J222" s="2">
        <v>150740</v>
      </c>
      <c r="K222">
        <f t="shared" si="3"/>
        <v>784</v>
      </c>
    </row>
    <row r="223" spans="1:11" x14ac:dyDescent="0.3">
      <c r="A223" t="s">
        <v>252</v>
      </c>
      <c r="B223" t="s">
        <v>12</v>
      </c>
      <c r="C223" t="s">
        <v>42</v>
      </c>
      <c r="D223" t="s">
        <v>231</v>
      </c>
      <c r="E223" t="s">
        <v>15</v>
      </c>
      <c r="F223">
        <v>14</v>
      </c>
      <c r="G223">
        <v>14</v>
      </c>
      <c r="H223">
        <v>0</v>
      </c>
      <c r="I223" s="1">
        <v>1403</v>
      </c>
      <c r="J223" s="2">
        <v>150740</v>
      </c>
      <c r="K223">
        <f t="shared" si="3"/>
        <v>196</v>
      </c>
    </row>
    <row r="224" spans="1:11" x14ac:dyDescent="0.3">
      <c r="A224" t="s">
        <v>253</v>
      </c>
      <c r="B224" t="s">
        <v>12</v>
      </c>
      <c r="C224" t="s">
        <v>42</v>
      </c>
      <c r="D224" t="s">
        <v>231</v>
      </c>
      <c r="E224" t="s">
        <v>15</v>
      </c>
      <c r="F224">
        <v>11</v>
      </c>
      <c r="G224">
        <v>11</v>
      </c>
      <c r="H224">
        <v>0</v>
      </c>
      <c r="I224" s="1">
        <v>1106</v>
      </c>
      <c r="J224" s="2">
        <v>150740</v>
      </c>
      <c r="K224">
        <f t="shared" si="3"/>
        <v>121</v>
      </c>
    </row>
    <row r="225" spans="1:11" x14ac:dyDescent="0.3">
      <c r="A225" t="s">
        <v>254</v>
      </c>
      <c r="B225" t="s">
        <v>12</v>
      </c>
      <c r="C225" t="s">
        <v>42</v>
      </c>
      <c r="D225" t="s">
        <v>231</v>
      </c>
      <c r="E225" t="s">
        <v>15</v>
      </c>
      <c r="F225">
        <v>11</v>
      </c>
      <c r="G225">
        <v>11</v>
      </c>
      <c r="H225">
        <v>0</v>
      </c>
      <c r="I225" s="1">
        <v>1102</v>
      </c>
      <c r="J225" s="2">
        <v>150740</v>
      </c>
      <c r="K225">
        <f t="shared" si="3"/>
        <v>121</v>
      </c>
    </row>
    <row r="226" spans="1:11" x14ac:dyDescent="0.3">
      <c r="A226" t="s">
        <v>255</v>
      </c>
      <c r="B226" t="s">
        <v>12</v>
      </c>
      <c r="C226" t="s">
        <v>42</v>
      </c>
      <c r="D226" t="s">
        <v>231</v>
      </c>
      <c r="E226" t="s">
        <v>15</v>
      </c>
      <c r="F226">
        <v>11</v>
      </c>
      <c r="G226">
        <v>11</v>
      </c>
      <c r="H226">
        <v>0</v>
      </c>
      <c r="I226" s="1">
        <v>1103</v>
      </c>
      <c r="J226" s="2">
        <v>150740</v>
      </c>
      <c r="K226">
        <f t="shared" si="3"/>
        <v>121</v>
      </c>
    </row>
    <row r="227" spans="1:11" x14ac:dyDescent="0.3">
      <c r="A227" t="s">
        <v>256</v>
      </c>
      <c r="B227" t="s">
        <v>12</v>
      </c>
      <c r="C227" t="s">
        <v>13</v>
      </c>
      <c r="D227" t="s">
        <v>257</v>
      </c>
      <c r="E227" t="s">
        <v>15</v>
      </c>
      <c r="F227">
        <v>40</v>
      </c>
      <c r="G227">
        <v>40</v>
      </c>
      <c r="H227">
        <v>0</v>
      </c>
      <c r="I227" s="1">
        <v>4028</v>
      </c>
      <c r="J227" s="2">
        <v>150740</v>
      </c>
      <c r="K227">
        <f t="shared" si="3"/>
        <v>1600</v>
      </c>
    </row>
    <row r="228" spans="1:11" x14ac:dyDescent="0.3">
      <c r="A228" t="s">
        <v>258</v>
      </c>
      <c r="B228" t="s">
        <v>12</v>
      </c>
      <c r="C228" t="s">
        <v>13</v>
      </c>
      <c r="D228" t="s">
        <v>257</v>
      </c>
      <c r="E228" t="s">
        <v>15</v>
      </c>
      <c r="F228">
        <v>36</v>
      </c>
      <c r="G228">
        <v>36</v>
      </c>
      <c r="H228">
        <v>0</v>
      </c>
      <c r="I228" s="1">
        <v>3625</v>
      </c>
      <c r="J228" s="2">
        <v>150740</v>
      </c>
      <c r="K228">
        <f t="shared" si="3"/>
        <v>1296</v>
      </c>
    </row>
    <row r="229" spans="1:11" x14ac:dyDescent="0.3">
      <c r="A229" t="s">
        <v>259</v>
      </c>
      <c r="B229" t="s">
        <v>12</v>
      </c>
      <c r="C229" t="s">
        <v>13</v>
      </c>
      <c r="D229" t="s">
        <v>257</v>
      </c>
      <c r="E229" t="s">
        <v>15</v>
      </c>
      <c r="F229">
        <v>52</v>
      </c>
      <c r="G229">
        <v>51</v>
      </c>
      <c r="H229">
        <v>0</v>
      </c>
      <c r="I229" s="1">
        <v>5232</v>
      </c>
      <c r="J229" s="2">
        <v>150740</v>
      </c>
      <c r="K229">
        <f t="shared" si="3"/>
        <v>2652</v>
      </c>
    </row>
    <row r="230" spans="1:11" x14ac:dyDescent="0.3">
      <c r="A230" t="s">
        <v>260</v>
      </c>
      <c r="B230" t="s">
        <v>12</v>
      </c>
      <c r="C230" t="s">
        <v>13</v>
      </c>
      <c r="D230" t="s">
        <v>257</v>
      </c>
      <c r="E230" t="s">
        <v>15</v>
      </c>
      <c r="F230">
        <v>15</v>
      </c>
      <c r="G230">
        <v>15</v>
      </c>
      <c r="H230">
        <v>0</v>
      </c>
      <c r="I230" s="1">
        <v>1512</v>
      </c>
      <c r="J230" s="2">
        <v>150740</v>
      </c>
      <c r="K230">
        <f t="shared" si="3"/>
        <v>225</v>
      </c>
    </row>
    <row r="231" spans="1:11" x14ac:dyDescent="0.3">
      <c r="A231" t="s">
        <v>261</v>
      </c>
      <c r="B231" t="s">
        <v>12</v>
      </c>
      <c r="C231" t="s">
        <v>13</v>
      </c>
      <c r="D231" t="s">
        <v>257</v>
      </c>
      <c r="E231" t="s">
        <v>15</v>
      </c>
      <c r="F231">
        <v>13</v>
      </c>
      <c r="G231">
        <v>13</v>
      </c>
      <c r="H231">
        <v>0</v>
      </c>
      <c r="I231" s="1">
        <v>1309</v>
      </c>
      <c r="J231" s="2">
        <v>150740</v>
      </c>
      <c r="K231">
        <f t="shared" si="3"/>
        <v>169</v>
      </c>
    </row>
    <row r="232" spans="1:11" x14ac:dyDescent="0.3">
      <c r="A232" t="s">
        <v>262</v>
      </c>
      <c r="B232" t="s">
        <v>12</v>
      </c>
      <c r="C232" t="s">
        <v>21</v>
      </c>
      <c r="D232" t="s">
        <v>257</v>
      </c>
      <c r="E232" t="s">
        <v>15</v>
      </c>
      <c r="F232">
        <v>13</v>
      </c>
      <c r="G232">
        <v>13</v>
      </c>
      <c r="H232">
        <v>0</v>
      </c>
      <c r="I232" s="1">
        <v>1307</v>
      </c>
      <c r="J232" s="2">
        <v>150740</v>
      </c>
      <c r="K232">
        <f t="shared" si="3"/>
        <v>169</v>
      </c>
    </row>
    <row r="233" spans="1:11" x14ac:dyDescent="0.3">
      <c r="A233" t="s">
        <v>263</v>
      </c>
      <c r="B233" t="s">
        <v>12</v>
      </c>
      <c r="C233" t="s">
        <v>21</v>
      </c>
      <c r="D233" t="s">
        <v>257</v>
      </c>
      <c r="E233" t="s">
        <v>15</v>
      </c>
      <c r="F233">
        <v>13</v>
      </c>
      <c r="G233">
        <v>13</v>
      </c>
      <c r="H233">
        <v>0</v>
      </c>
      <c r="I233" s="1">
        <v>1305</v>
      </c>
      <c r="J233" s="2">
        <v>150740</v>
      </c>
      <c r="K233">
        <f t="shared" si="3"/>
        <v>169</v>
      </c>
    </row>
    <row r="234" spans="1:11" x14ac:dyDescent="0.3">
      <c r="A234" t="s">
        <v>264</v>
      </c>
      <c r="B234" t="s">
        <v>12</v>
      </c>
      <c r="C234" t="s">
        <v>21</v>
      </c>
      <c r="D234" t="s">
        <v>257</v>
      </c>
      <c r="E234" t="s">
        <v>15</v>
      </c>
      <c r="F234">
        <v>13</v>
      </c>
      <c r="G234">
        <v>13</v>
      </c>
      <c r="H234">
        <v>0</v>
      </c>
      <c r="I234" s="1">
        <v>1306</v>
      </c>
      <c r="J234" s="2">
        <v>150740</v>
      </c>
      <c r="K234">
        <f t="shared" si="3"/>
        <v>169</v>
      </c>
    </row>
    <row r="235" spans="1:11" x14ac:dyDescent="0.3">
      <c r="A235" t="s">
        <v>265</v>
      </c>
      <c r="B235" t="s">
        <v>12</v>
      </c>
      <c r="C235" t="s">
        <v>21</v>
      </c>
      <c r="D235" t="s">
        <v>257</v>
      </c>
      <c r="E235" t="s">
        <v>15</v>
      </c>
      <c r="F235">
        <v>13</v>
      </c>
      <c r="G235">
        <v>13</v>
      </c>
      <c r="H235">
        <v>0</v>
      </c>
      <c r="I235" s="1">
        <v>1305</v>
      </c>
      <c r="J235" s="2">
        <v>150740</v>
      </c>
      <c r="K235">
        <f t="shared" si="3"/>
        <v>169</v>
      </c>
    </row>
    <row r="236" spans="1:11" x14ac:dyDescent="0.3">
      <c r="A236" t="s">
        <v>266</v>
      </c>
      <c r="B236" t="s">
        <v>12</v>
      </c>
      <c r="C236" t="s">
        <v>21</v>
      </c>
      <c r="D236" t="s">
        <v>257</v>
      </c>
      <c r="E236" t="s">
        <v>15</v>
      </c>
      <c r="F236">
        <v>13</v>
      </c>
      <c r="G236">
        <v>13</v>
      </c>
      <c r="H236">
        <v>0</v>
      </c>
      <c r="I236" s="1">
        <v>1307</v>
      </c>
      <c r="J236" s="2">
        <v>150740</v>
      </c>
      <c r="K236">
        <f t="shared" si="3"/>
        <v>169</v>
      </c>
    </row>
    <row r="237" spans="1:11" x14ac:dyDescent="0.3">
      <c r="A237" t="s">
        <v>267</v>
      </c>
      <c r="B237" t="s">
        <v>12</v>
      </c>
      <c r="C237" t="s">
        <v>27</v>
      </c>
      <c r="D237" t="s">
        <v>257</v>
      </c>
      <c r="E237" t="s">
        <v>15</v>
      </c>
      <c r="F237">
        <v>43</v>
      </c>
      <c r="G237">
        <v>39</v>
      </c>
      <c r="H237">
        <v>0</v>
      </c>
      <c r="I237" s="1">
        <v>4325</v>
      </c>
      <c r="J237" s="2">
        <v>150740</v>
      </c>
      <c r="K237">
        <f t="shared" si="3"/>
        <v>1677</v>
      </c>
    </row>
    <row r="238" spans="1:11" x14ac:dyDescent="0.3">
      <c r="A238" t="s">
        <v>268</v>
      </c>
      <c r="B238" t="s">
        <v>12</v>
      </c>
      <c r="C238" t="s">
        <v>27</v>
      </c>
      <c r="D238" t="s">
        <v>257</v>
      </c>
      <c r="E238" t="s">
        <v>15</v>
      </c>
      <c r="F238">
        <v>38</v>
      </c>
      <c r="G238">
        <v>35</v>
      </c>
      <c r="H238">
        <v>0</v>
      </c>
      <c r="I238" s="1">
        <v>3824</v>
      </c>
      <c r="J238" s="2">
        <v>150740</v>
      </c>
      <c r="K238">
        <f t="shared" si="3"/>
        <v>1330</v>
      </c>
    </row>
    <row r="239" spans="1:11" x14ac:dyDescent="0.3">
      <c r="A239" t="s">
        <v>269</v>
      </c>
      <c r="B239" t="s">
        <v>12</v>
      </c>
      <c r="C239" t="s">
        <v>27</v>
      </c>
      <c r="D239" t="s">
        <v>257</v>
      </c>
      <c r="E239" t="s">
        <v>15</v>
      </c>
      <c r="F239">
        <v>29</v>
      </c>
      <c r="G239">
        <v>26</v>
      </c>
      <c r="H239">
        <v>0</v>
      </c>
      <c r="I239" s="1">
        <v>2911</v>
      </c>
      <c r="J239" s="2">
        <v>150740</v>
      </c>
      <c r="K239">
        <f t="shared" si="3"/>
        <v>754</v>
      </c>
    </row>
    <row r="240" spans="1:11" x14ac:dyDescent="0.3">
      <c r="A240" t="s">
        <v>270</v>
      </c>
      <c r="B240" t="s">
        <v>12</v>
      </c>
      <c r="C240" t="s">
        <v>27</v>
      </c>
      <c r="D240" t="s">
        <v>257</v>
      </c>
      <c r="E240" t="s">
        <v>15</v>
      </c>
      <c r="F240">
        <v>34</v>
      </c>
      <c r="G240">
        <v>30</v>
      </c>
      <c r="H240">
        <v>0</v>
      </c>
      <c r="I240" s="1">
        <v>3414</v>
      </c>
      <c r="J240" s="2">
        <v>150740</v>
      </c>
      <c r="K240">
        <f t="shared" si="3"/>
        <v>1020</v>
      </c>
    </row>
    <row r="241" spans="1:11" x14ac:dyDescent="0.3">
      <c r="A241" t="s">
        <v>271</v>
      </c>
      <c r="B241" t="s">
        <v>12</v>
      </c>
      <c r="C241" t="s">
        <v>27</v>
      </c>
      <c r="D241" t="s">
        <v>257</v>
      </c>
      <c r="E241" t="s">
        <v>15</v>
      </c>
      <c r="F241">
        <v>38</v>
      </c>
      <c r="G241">
        <v>35</v>
      </c>
      <c r="H241">
        <v>0</v>
      </c>
      <c r="I241" s="1">
        <v>3814</v>
      </c>
      <c r="J241" s="2">
        <v>150740</v>
      </c>
      <c r="K241">
        <f t="shared" si="3"/>
        <v>1330</v>
      </c>
    </row>
    <row r="242" spans="1:11" x14ac:dyDescent="0.3">
      <c r="A242" t="s">
        <v>272</v>
      </c>
      <c r="B242" t="s">
        <v>12</v>
      </c>
      <c r="C242" t="s">
        <v>35</v>
      </c>
      <c r="D242" t="s">
        <v>257</v>
      </c>
      <c r="E242" t="s">
        <v>15</v>
      </c>
      <c r="F242">
        <v>115</v>
      </c>
      <c r="G242">
        <v>113</v>
      </c>
      <c r="H242">
        <v>1</v>
      </c>
      <c r="I242" s="1">
        <v>11652</v>
      </c>
      <c r="J242" s="2">
        <v>125303</v>
      </c>
      <c r="K242">
        <f t="shared" si="3"/>
        <v>12996.2</v>
      </c>
    </row>
    <row r="243" spans="1:11" x14ac:dyDescent="0.3">
      <c r="A243" t="s">
        <v>273</v>
      </c>
      <c r="B243" t="s">
        <v>12</v>
      </c>
      <c r="C243" t="s">
        <v>35</v>
      </c>
      <c r="D243" t="s">
        <v>257</v>
      </c>
      <c r="E243" t="s">
        <v>15</v>
      </c>
      <c r="F243">
        <v>49</v>
      </c>
      <c r="G243">
        <v>48</v>
      </c>
      <c r="H243">
        <v>1</v>
      </c>
      <c r="I243" s="1">
        <v>5035</v>
      </c>
      <c r="J243" s="2">
        <v>150740</v>
      </c>
      <c r="K243">
        <f t="shared" si="3"/>
        <v>2353.1999999999998</v>
      </c>
    </row>
    <row r="244" spans="1:11" x14ac:dyDescent="0.3">
      <c r="A244" t="s">
        <v>274</v>
      </c>
      <c r="B244" t="s">
        <v>12</v>
      </c>
      <c r="C244" t="s">
        <v>35</v>
      </c>
      <c r="D244" t="s">
        <v>257</v>
      </c>
      <c r="E244" t="s">
        <v>15</v>
      </c>
      <c r="F244">
        <v>24</v>
      </c>
      <c r="G244">
        <v>24</v>
      </c>
      <c r="H244">
        <v>0</v>
      </c>
      <c r="I244" s="1">
        <v>2410</v>
      </c>
      <c r="J244" s="2">
        <v>150740</v>
      </c>
      <c r="K244">
        <f t="shared" si="3"/>
        <v>576</v>
      </c>
    </row>
    <row r="245" spans="1:11" x14ac:dyDescent="0.3">
      <c r="A245" t="s">
        <v>275</v>
      </c>
      <c r="B245" t="s">
        <v>12</v>
      </c>
      <c r="C245" t="s">
        <v>35</v>
      </c>
      <c r="D245" t="s">
        <v>257</v>
      </c>
      <c r="E245" t="s">
        <v>15</v>
      </c>
      <c r="F245">
        <v>22</v>
      </c>
      <c r="G245">
        <v>22</v>
      </c>
      <c r="H245">
        <v>0</v>
      </c>
      <c r="I245" s="1">
        <v>2212</v>
      </c>
      <c r="J245" s="2">
        <v>150740</v>
      </c>
      <c r="K245">
        <f t="shared" si="3"/>
        <v>484</v>
      </c>
    </row>
    <row r="246" spans="1:11" x14ac:dyDescent="0.3">
      <c r="A246" t="s">
        <v>276</v>
      </c>
      <c r="B246" t="s">
        <v>12</v>
      </c>
      <c r="C246" t="s">
        <v>35</v>
      </c>
      <c r="D246" t="s">
        <v>257</v>
      </c>
      <c r="E246" t="s">
        <v>15</v>
      </c>
      <c r="F246">
        <v>41</v>
      </c>
      <c r="G246">
        <v>39</v>
      </c>
      <c r="H246">
        <v>1</v>
      </c>
      <c r="I246" s="1">
        <v>4228</v>
      </c>
      <c r="J246" s="2">
        <v>150740</v>
      </c>
      <c r="K246">
        <f t="shared" si="3"/>
        <v>1600.2</v>
      </c>
    </row>
    <row r="247" spans="1:11" x14ac:dyDescent="0.3">
      <c r="A247" t="s">
        <v>277</v>
      </c>
      <c r="B247" t="s">
        <v>12</v>
      </c>
      <c r="C247" t="s">
        <v>42</v>
      </c>
      <c r="D247" t="s">
        <v>257</v>
      </c>
      <c r="E247" t="s">
        <v>15</v>
      </c>
      <c r="F247">
        <v>20</v>
      </c>
      <c r="G247">
        <v>20</v>
      </c>
      <c r="H247">
        <v>0</v>
      </c>
      <c r="I247" s="1">
        <v>2009</v>
      </c>
      <c r="J247" s="2">
        <v>150740</v>
      </c>
      <c r="K247">
        <f t="shared" si="3"/>
        <v>400</v>
      </c>
    </row>
    <row r="248" spans="1:11" x14ac:dyDescent="0.3">
      <c r="A248" t="s">
        <v>278</v>
      </c>
      <c r="B248" t="s">
        <v>12</v>
      </c>
      <c r="C248" t="s">
        <v>42</v>
      </c>
      <c r="D248" t="s">
        <v>257</v>
      </c>
      <c r="E248" t="s">
        <v>15</v>
      </c>
      <c r="F248">
        <v>14</v>
      </c>
      <c r="G248">
        <v>14</v>
      </c>
      <c r="H248">
        <v>0</v>
      </c>
      <c r="I248" s="1">
        <v>1408</v>
      </c>
      <c r="J248" s="2">
        <v>150740</v>
      </c>
      <c r="K248">
        <f t="shared" si="3"/>
        <v>196</v>
      </c>
    </row>
    <row r="249" spans="1:11" x14ac:dyDescent="0.3">
      <c r="A249" t="s">
        <v>279</v>
      </c>
      <c r="B249" t="s">
        <v>12</v>
      </c>
      <c r="C249" t="s">
        <v>42</v>
      </c>
      <c r="D249" t="s">
        <v>257</v>
      </c>
      <c r="E249" t="s">
        <v>280</v>
      </c>
      <c r="F249">
        <v>20</v>
      </c>
      <c r="G249">
        <v>18</v>
      </c>
      <c r="H249">
        <v>0</v>
      </c>
      <c r="I249" s="1">
        <v>2008</v>
      </c>
      <c r="J249" s="2">
        <v>150740</v>
      </c>
      <c r="K249">
        <f t="shared" si="3"/>
        <v>540</v>
      </c>
    </row>
    <row r="250" spans="1:11" x14ac:dyDescent="0.3">
      <c r="A250" t="s">
        <v>281</v>
      </c>
      <c r="B250" t="s">
        <v>12</v>
      </c>
      <c r="C250" t="s">
        <v>42</v>
      </c>
      <c r="D250" t="s">
        <v>257</v>
      </c>
      <c r="E250" t="s">
        <v>15</v>
      </c>
      <c r="F250">
        <v>11</v>
      </c>
      <c r="G250">
        <v>11</v>
      </c>
      <c r="H250">
        <v>0</v>
      </c>
      <c r="I250" s="1">
        <v>1103</v>
      </c>
      <c r="J250" s="2">
        <v>150740</v>
      </c>
      <c r="K250">
        <f t="shared" si="3"/>
        <v>121</v>
      </c>
    </row>
    <row r="251" spans="1:11" x14ac:dyDescent="0.3">
      <c r="A251" t="s">
        <v>282</v>
      </c>
      <c r="B251" t="s">
        <v>12</v>
      </c>
      <c r="C251" t="s">
        <v>42</v>
      </c>
      <c r="D251" t="s">
        <v>257</v>
      </c>
      <c r="E251" t="s">
        <v>15</v>
      </c>
      <c r="F251">
        <v>11</v>
      </c>
      <c r="G251">
        <v>11</v>
      </c>
      <c r="H251">
        <v>0</v>
      </c>
      <c r="I251" s="1">
        <v>1106</v>
      </c>
      <c r="J251" s="2">
        <v>150740</v>
      </c>
      <c r="K251">
        <f t="shared" si="3"/>
        <v>121</v>
      </c>
    </row>
    <row r="252" spans="1:11" x14ac:dyDescent="0.3">
      <c r="A252" t="s">
        <v>283</v>
      </c>
      <c r="B252" t="s">
        <v>12</v>
      </c>
      <c r="C252" t="s">
        <v>13</v>
      </c>
      <c r="D252" t="s">
        <v>284</v>
      </c>
      <c r="E252" t="s">
        <v>15</v>
      </c>
      <c r="F252">
        <v>57</v>
      </c>
      <c r="G252">
        <v>57</v>
      </c>
      <c r="H252">
        <v>0</v>
      </c>
      <c r="I252" s="1">
        <v>5706</v>
      </c>
      <c r="J252" s="2">
        <v>149863</v>
      </c>
      <c r="K252">
        <f t="shared" si="3"/>
        <v>3249</v>
      </c>
    </row>
    <row r="253" spans="1:11" x14ac:dyDescent="0.3">
      <c r="A253" t="s">
        <v>285</v>
      </c>
      <c r="B253" t="s">
        <v>12</v>
      </c>
      <c r="C253" t="s">
        <v>13</v>
      </c>
      <c r="D253" t="s">
        <v>284</v>
      </c>
      <c r="E253" t="s">
        <v>15</v>
      </c>
      <c r="F253">
        <v>41</v>
      </c>
      <c r="G253">
        <v>41</v>
      </c>
      <c r="H253">
        <v>0</v>
      </c>
      <c r="I253" s="1">
        <v>4102</v>
      </c>
      <c r="J253" s="2">
        <v>150740</v>
      </c>
      <c r="K253">
        <f t="shared" si="3"/>
        <v>1681</v>
      </c>
    </row>
    <row r="254" spans="1:11" x14ac:dyDescent="0.3">
      <c r="A254" t="s">
        <v>286</v>
      </c>
      <c r="B254" t="s">
        <v>12</v>
      </c>
      <c r="C254" t="s">
        <v>13</v>
      </c>
      <c r="D254" t="s">
        <v>284</v>
      </c>
      <c r="E254" t="s">
        <v>15</v>
      </c>
      <c r="F254">
        <v>18</v>
      </c>
      <c r="G254">
        <v>18</v>
      </c>
      <c r="H254">
        <v>0</v>
      </c>
      <c r="I254" s="1">
        <v>1803</v>
      </c>
      <c r="J254" s="2">
        <v>150740</v>
      </c>
      <c r="K254">
        <f t="shared" si="3"/>
        <v>324</v>
      </c>
    </row>
    <row r="255" spans="1:11" x14ac:dyDescent="0.3">
      <c r="A255" t="s">
        <v>287</v>
      </c>
      <c r="B255" t="s">
        <v>12</v>
      </c>
      <c r="C255" t="s">
        <v>13</v>
      </c>
      <c r="D255" t="s">
        <v>284</v>
      </c>
      <c r="E255" t="s">
        <v>15</v>
      </c>
      <c r="F255">
        <v>13</v>
      </c>
      <c r="G255">
        <v>13</v>
      </c>
      <c r="H255">
        <v>0</v>
      </c>
      <c r="I255" s="1">
        <v>1305</v>
      </c>
      <c r="J255" s="2">
        <v>150740</v>
      </c>
      <c r="K255">
        <f t="shared" si="3"/>
        <v>169</v>
      </c>
    </row>
    <row r="256" spans="1:11" x14ac:dyDescent="0.3">
      <c r="A256" t="s">
        <v>288</v>
      </c>
      <c r="B256" t="s">
        <v>12</v>
      </c>
      <c r="C256" t="s">
        <v>13</v>
      </c>
      <c r="D256" t="s">
        <v>284</v>
      </c>
      <c r="E256" t="s">
        <v>15</v>
      </c>
      <c r="F256">
        <v>13</v>
      </c>
      <c r="G256">
        <v>13</v>
      </c>
      <c r="H256">
        <v>0</v>
      </c>
      <c r="I256" s="1">
        <v>1301</v>
      </c>
      <c r="J256" s="2">
        <v>150740</v>
      </c>
      <c r="K256">
        <f t="shared" si="3"/>
        <v>169</v>
      </c>
    </row>
    <row r="257" spans="1:11" x14ac:dyDescent="0.3">
      <c r="A257" t="s">
        <v>289</v>
      </c>
      <c r="B257" t="s">
        <v>12</v>
      </c>
      <c r="C257" t="s">
        <v>21</v>
      </c>
      <c r="D257" t="s">
        <v>284</v>
      </c>
      <c r="E257" t="s">
        <v>15</v>
      </c>
      <c r="F257">
        <v>13</v>
      </c>
      <c r="G257">
        <v>13</v>
      </c>
      <c r="H257">
        <v>0</v>
      </c>
      <c r="I257" s="1">
        <v>1302</v>
      </c>
      <c r="J257" s="2">
        <v>150740</v>
      </c>
      <c r="K257">
        <f t="shared" si="3"/>
        <v>169</v>
      </c>
    </row>
    <row r="258" spans="1:11" x14ac:dyDescent="0.3">
      <c r="A258" t="s">
        <v>290</v>
      </c>
      <c r="B258" t="s">
        <v>12</v>
      </c>
      <c r="C258" t="s">
        <v>21</v>
      </c>
      <c r="D258" t="s">
        <v>284</v>
      </c>
      <c r="E258" t="s">
        <v>15</v>
      </c>
      <c r="F258">
        <v>13</v>
      </c>
      <c r="G258">
        <v>13</v>
      </c>
      <c r="H258">
        <v>0</v>
      </c>
      <c r="I258" s="1">
        <v>1305</v>
      </c>
      <c r="J258" s="2">
        <v>150740</v>
      </c>
      <c r="K258">
        <f t="shared" si="3"/>
        <v>169</v>
      </c>
    </row>
    <row r="259" spans="1:11" x14ac:dyDescent="0.3">
      <c r="A259" t="s">
        <v>291</v>
      </c>
      <c r="B259" t="s">
        <v>12</v>
      </c>
      <c r="C259" t="s">
        <v>21</v>
      </c>
      <c r="D259" t="s">
        <v>284</v>
      </c>
      <c r="E259" t="s">
        <v>15</v>
      </c>
      <c r="F259">
        <v>13</v>
      </c>
      <c r="G259">
        <v>13</v>
      </c>
      <c r="H259">
        <v>0</v>
      </c>
      <c r="I259" s="1">
        <v>1301</v>
      </c>
      <c r="J259" s="2">
        <v>150740</v>
      </c>
      <c r="K259">
        <f t="shared" ref="K259:K322" si="4">SUM(((F259*G259)+(H259*1.2))*IF(E259="complete",1,1.5))</f>
        <v>169</v>
      </c>
    </row>
    <row r="260" spans="1:11" x14ac:dyDescent="0.3">
      <c r="A260" t="s">
        <v>292</v>
      </c>
      <c r="B260" t="s">
        <v>12</v>
      </c>
      <c r="C260" t="s">
        <v>21</v>
      </c>
      <c r="D260" t="s">
        <v>284</v>
      </c>
      <c r="E260" t="s">
        <v>15</v>
      </c>
      <c r="F260">
        <v>13</v>
      </c>
      <c r="G260">
        <v>13</v>
      </c>
      <c r="H260">
        <v>0</v>
      </c>
      <c r="I260" s="1">
        <v>1300</v>
      </c>
      <c r="J260" s="2">
        <v>150740</v>
      </c>
      <c r="K260">
        <f t="shared" si="4"/>
        <v>169</v>
      </c>
    </row>
    <row r="261" spans="1:11" x14ac:dyDescent="0.3">
      <c r="A261" t="s">
        <v>293</v>
      </c>
      <c r="B261" t="s">
        <v>12</v>
      </c>
      <c r="C261" t="s">
        <v>21</v>
      </c>
      <c r="D261" t="s">
        <v>284</v>
      </c>
      <c r="E261" t="s">
        <v>15</v>
      </c>
      <c r="F261">
        <v>13</v>
      </c>
      <c r="G261">
        <v>13</v>
      </c>
      <c r="H261">
        <v>0</v>
      </c>
      <c r="I261" s="1">
        <v>1305</v>
      </c>
      <c r="J261" s="2">
        <v>150740</v>
      </c>
      <c r="K261">
        <f t="shared" si="4"/>
        <v>169</v>
      </c>
    </row>
    <row r="262" spans="1:11" x14ac:dyDescent="0.3">
      <c r="A262" t="s">
        <v>294</v>
      </c>
      <c r="B262" t="s">
        <v>12</v>
      </c>
      <c r="C262" t="s">
        <v>27</v>
      </c>
      <c r="D262" t="s">
        <v>284</v>
      </c>
      <c r="E262" t="s">
        <v>15</v>
      </c>
      <c r="F262">
        <v>43</v>
      </c>
      <c r="G262">
        <v>40</v>
      </c>
      <c r="H262">
        <v>0</v>
      </c>
      <c r="I262" s="1">
        <v>4301</v>
      </c>
      <c r="J262" s="2">
        <v>150740</v>
      </c>
      <c r="K262">
        <f t="shared" si="4"/>
        <v>1720</v>
      </c>
    </row>
    <row r="263" spans="1:11" x14ac:dyDescent="0.3">
      <c r="A263" t="s">
        <v>295</v>
      </c>
      <c r="B263" t="s">
        <v>12</v>
      </c>
      <c r="C263" t="s">
        <v>27</v>
      </c>
      <c r="D263" t="s">
        <v>284</v>
      </c>
      <c r="E263" t="s">
        <v>15</v>
      </c>
      <c r="F263">
        <v>34</v>
      </c>
      <c r="G263">
        <v>30</v>
      </c>
      <c r="H263">
        <v>0</v>
      </c>
      <c r="I263" s="1">
        <v>3404</v>
      </c>
      <c r="J263" s="2">
        <v>150740</v>
      </c>
      <c r="K263">
        <f t="shared" si="4"/>
        <v>1020</v>
      </c>
    </row>
    <row r="264" spans="1:11" x14ac:dyDescent="0.3">
      <c r="A264" t="s">
        <v>296</v>
      </c>
      <c r="B264" t="s">
        <v>12</v>
      </c>
      <c r="C264" t="s">
        <v>27</v>
      </c>
      <c r="D264" t="s">
        <v>284</v>
      </c>
      <c r="E264" t="s">
        <v>15</v>
      </c>
      <c r="F264">
        <v>34</v>
      </c>
      <c r="G264">
        <v>30</v>
      </c>
      <c r="H264">
        <v>0</v>
      </c>
      <c r="I264" s="1">
        <v>3402</v>
      </c>
      <c r="J264" s="2">
        <v>150740</v>
      </c>
      <c r="K264">
        <f t="shared" si="4"/>
        <v>1020</v>
      </c>
    </row>
    <row r="265" spans="1:11" x14ac:dyDescent="0.3">
      <c r="A265" t="s">
        <v>297</v>
      </c>
      <c r="B265" t="s">
        <v>12</v>
      </c>
      <c r="C265" t="s">
        <v>27</v>
      </c>
      <c r="D265" t="s">
        <v>284</v>
      </c>
      <c r="E265" t="s">
        <v>15</v>
      </c>
      <c r="F265">
        <v>31</v>
      </c>
      <c r="G265">
        <v>27</v>
      </c>
      <c r="H265">
        <v>0</v>
      </c>
      <c r="I265" s="1">
        <v>3103</v>
      </c>
      <c r="J265" s="2">
        <v>150740</v>
      </c>
      <c r="K265">
        <f t="shared" si="4"/>
        <v>837</v>
      </c>
    </row>
    <row r="266" spans="1:11" x14ac:dyDescent="0.3">
      <c r="A266" t="s">
        <v>298</v>
      </c>
      <c r="B266" t="s">
        <v>12</v>
      </c>
      <c r="C266" t="s">
        <v>27</v>
      </c>
      <c r="D266" t="s">
        <v>284</v>
      </c>
      <c r="E266" t="s">
        <v>15</v>
      </c>
      <c r="F266">
        <v>53</v>
      </c>
      <c r="G266">
        <v>43</v>
      </c>
      <c r="H266">
        <v>0</v>
      </c>
      <c r="I266" s="1">
        <v>5306</v>
      </c>
      <c r="J266" s="2">
        <v>150740</v>
      </c>
      <c r="K266">
        <f t="shared" si="4"/>
        <v>2279</v>
      </c>
    </row>
    <row r="267" spans="1:11" x14ac:dyDescent="0.3">
      <c r="A267" t="s">
        <v>299</v>
      </c>
      <c r="B267" t="s">
        <v>12</v>
      </c>
      <c r="C267" t="s">
        <v>35</v>
      </c>
      <c r="D267" t="s">
        <v>284</v>
      </c>
      <c r="E267" t="s">
        <v>15</v>
      </c>
      <c r="F267">
        <v>127</v>
      </c>
      <c r="G267">
        <v>124</v>
      </c>
      <c r="H267">
        <v>1</v>
      </c>
      <c r="I267" s="1">
        <v>12811</v>
      </c>
      <c r="J267" s="2">
        <v>123054</v>
      </c>
      <c r="K267">
        <f t="shared" si="4"/>
        <v>15749.2</v>
      </c>
    </row>
    <row r="268" spans="1:11" x14ac:dyDescent="0.3">
      <c r="A268" t="s">
        <v>300</v>
      </c>
      <c r="B268" t="s">
        <v>12</v>
      </c>
      <c r="C268" t="s">
        <v>35</v>
      </c>
      <c r="D268" t="s">
        <v>284</v>
      </c>
      <c r="E268" t="s">
        <v>15</v>
      </c>
      <c r="F268">
        <v>38</v>
      </c>
      <c r="G268">
        <v>38</v>
      </c>
      <c r="H268">
        <v>0</v>
      </c>
      <c r="I268" s="1">
        <v>3805</v>
      </c>
      <c r="J268" s="2">
        <v>150740</v>
      </c>
      <c r="K268">
        <f t="shared" si="4"/>
        <v>1444</v>
      </c>
    </row>
    <row r="269" spans="1:11" x14ac:dyDescent="0.3">
      <c r="A269" t="s">
        <v>301</v>
      </c>
      <c r="B269" t="s">
        <v>12</v>
      </c>
      <c r="C269" t="s">
        <v>35</v>
      </c>
      <c r="D269" t="s">
        <v>284</v>
      </c>
      <c r="E269" t="s">
        <v>15</v>
      </c>
      <c r="F269">
        <v>31</v>
      </c>
      <c r="G269">
        <v>30</v>
      </c>
      <c r="H269">
        <v>0</v>
      </c>
      <c r="I269" s="1">
        <v>3103</v>
      </c>
      <c r="J269" s="2">
        <v>150740</v>
      </c>
      <c r="K269">
        <f t="shared" si="4"/>
        <v>930</v>
      </c>
    </row>
    <row r="270" spans="1:11" x14ac:dyDescent="0.3">
      <c r="A270" t="s">
        <v>302</v>
      </c>
      <c r="B270" t="s">
        <v>12</v>
      </c>
      <c r="C270" t="s">
        <v>35</v>
      </c>
      <c r="D270" t="s">
        <v>284</v>
      </c>
      <c r="E270" t="s">
        <v>15</v>
      </c>
      <c r="F270">
        <v>63</v>
      </c>
      <c r="G270">
        <v>62</v>
      </c>
      <c r="H270">
        <v>1</v>
      </c>
      <c r="I270" s="1">
        <v>6404</v>
      </c>
      <c r="J270" s="2">
        <v>145543</v>
      </c>
      <c r="K270">
        <f t="shared" si="4"/>
        <v>3907.2</v>
      </c>
    </row>
    <row r="271" spans="1:11" x14ac:dyDescent="0.3">
      <c r="A271" t="s">
        <v>303</v>
      </c>
      <c r="B271" t="s">
        <v>12</v>
      </c>
      <c r="C271" t="s">
        <v>35</v>
      </c>
      <c r="D271" t="s">
        <v>284</v>
      </c>
      <c r="E271" t="s">
        <v>15</v>
      </c>
      <c r="F271">
        <v>27</v>
      </c>
      <c r="G271">
        <v>27</v>
      </c>
      <c r="H271">
        <v>0</v>
      </c>
      <c r="I271" s="1">
        <v>2701</v>
      </c>
      <c r="J271" s="2">
        <v>150740</v>
      </c>
      <c r="K271">
        <f t="shared" si="4"/>
        <v>729</v>
      </c>
    </row>
    <row r="272" spans="1:11" x14ac:dyDescent="0.3">
      <c r="A272" t="s">
        <v>304</v>
      </c>
      <c r="B272" t="s">
        <v>12</v>
      </c>
      <c r="C272" t="s">
        <v>42</v>
      </c>
      <c r="D272" t="s">
        <v>284</v>
      </c>
      <c r="E272" t="s">
        <v>15</v>
      </c>
      <c r="F272">
        <v>32</v>
      </c>
      <c r="G272">
        <v>32</v>
      </c>
      <c r="H272">
        <v>0</v>
      </c>
      <c r="I272" s="1">
        <v>3201</v>
      </c>
      <c r="J272" s="2">
        <v>150740</v>
      </c>
      <c r="K272">
        <f t="shared" si="4"/>
        <v>1024</v>
      </c>
    </row>
    <row r="273" spans="1:11" x14ac:dyDescent="0.3">
      <c r="A273" t="s">
        <v>305</v>
      </c>
      <c r="B273" t="s">
        <v>12</v>
      </c>
      <c r="C273" t="s">
        <v>42</v>
      </c>
      <c r="D273" t="s">
        <v>284</v>
      </c>
      <c r="E273" t="s">
        <v>15</v>
      </c>
      <c r="F273">
        <v>13</v>
      </c>
      <c r="G273">
        <v>13</v>
      </c>
      <c r="H273">
        <v>0</v>
      </c>
      <c r="I273" s="1">
        <v>1303</v>
      </c>
      <c r="J273" s="2">
        <v>150740</v>
      </c>
      <c r="K273">
        <f t="shared" si="4"/>
        <v>169</v>
      </c>
    </row>
    <row r="274" spans="1:11" x14ac:dyDescent="0.3">
      <c r="A274" t="s">
        <v>306</v>
      </c>
      <c r="B274" t="s">
        <v>12</v>
      </c>
      <c r="C274" t="s">
        <v>42</v>
      </c>
      <c r="D274" t="s">
        <v>284</v>
      </c>
      <c r="E274" t="s">
        <v>15</v>
      </c>
      <c r="F274">
        <v>11</v>
      </c>
      <c r="G274">
        <v>11</v>
      </c>
      <c r="H274">
        <v>0</v>
      </c>
      <c r="I274" s="1">
        <v>1101</v>
      </c>
      <c r="J274" s="2">
        <v>150740</v>
      </c>
      <c r="K274">
        <f t="shared" si="4"/>
        <v>121</v>
      </c>
    </row>
    <row r="275" spans="1:11" x14ac:dyDescent="0.3">
      <c r="A275" t="s">
        <v>307</v>
      </c>
      <c r="B275" t="s">
        <v>12</v>
      </c>
      <c r="C275" t="s">
        <v>42</v>
      </c>
      <c r="D275" t="s">
        <v>284</v>
      </c>
      <c r="E275" t="s">
        <v>15</v>
      </c>
      <c r="F275">
        <v>11</v>
      </c>
      <c r="G275">
        <v>11</v>
      </c>
      <c r="H275">
        <v>0</v>
      </c>
      <c r="I275" s="1">
        <v>1104</v>
      </c>
      <c r="J275" s="2">
        <v>150740</v>
      </c>
      <c r="K275">
        <f t="shared" si="4"/>
        <v>121</v>
      </c>
    </row>
    <row r="276" spans="1:11" x14ac:dyDescent="0.3">
      <c r="A276" t="s">
        <v>308</v>
      </c>
      <c r="B276" t="s">
        <v>12</v>
      </c>
      <c r="C276" t="s">
        <v>42</v>
      </c>
      <c r="D276" t="s">
        <v>284</v>
      </c>
      <c r="E276" t="s">
        <v>15</v>
      </c>
      <c r="F276">
        <v>11</v>
      </c>
      <c r="G276">
        <v>11</v>
      </c>
      <c r="H276">
        <v>0</v>
      </c>
      <c r="I276" s="1">
        <v>1100</v>
      </c>
      <c r="J276" s="2">
        <v>150740</v>
      </c>
      <c r="K276">
        <f t="shared" si="4"/>
        <v>121</v>
      </c>
    </row>
    <row r="277" spans="1:11" x14ac:dyDescent="0.3">
      <c r="A277" t="s">
        <v>309</v>
      </c>
      <c r="B277" t="s">
        <v>12</v>
      </c>
      <c r="C277" t="s">
        <v>13</v>
      </c>
      <c r="D277" t="s">
        <v>310</v>
      </c>
      <c r="E277" t="s">
        <v>15</v>
      </c>
      <c r="F277">
        <v>64</v>
      </c>
      <c r="G277">
        <v>64</v>
      </c>
      <c r="H277">
        <v>0</v>
      </c>
      <c r="I277" s="1">
        <v>6449</v>
      </c>
      <c r="J277" s="2">
        <v>144490</v>
      </c>
      <c r="K277">
        <f t="shared" si="4"/>
        <v>4096</v>
      </c>
    </row>
    <row r="278" spans="1:11" x14ac:dyDescent="0.3">
      <c r="A278" t="s">
        <v>311</v>
      </c>
      <c r="B278" t="s">
        <v>12</v>
      </c>
      <c r="C278" t="s">
        <v>13</v>
      </c>
      <c r="D278" t="s">
        <v>310</v>
      </c>
      <c r="E278" t="s">
        <v>15</v>
      </c>
      <c r="F278">
        <v>36</v>
      </c>
      <c r="G278">
        <v>36</v>
      </c>
      <c r="H278">
        <v>0</v>
      </c>
      <c r="I278" s="1">
        <v>3629</v>
      </c>
      <c r="J278" s="2">
        <v>150740</v>
      </c>
      <c r="K278">
        <f t="shared" si="4"/>
        <v>1296</v>
      </c>
    </row>
    <row r="279" spans="1:11" x14ac:dyDescent="0.3">
      <c r="A279" t="s">
        <v>312</v>
      </c>
      <c r="B279" t="s">
        <v>12</v>
      </c>
      <c r="C279" t="s">
        <v>13</v>
      </c>
      <c r="D279" t="s">
        <v>310</v>
      </c>
      <c r="E279" t="s">
        <v>15</v>
      </c>
      <c r="F279">
        <v>18</v>
      </c>
      <c r="G279">
        <v>18</v>
      </c>
      <c r="H279">
        <v>0</v>
      </c>
      <c r="I279" s="1">
        <v>1811</v>
      </c>
      <c r="J279" s="2">
        <v>150740</v>
      </c>
      <c r="K279">
        <f t="shared" si="4"/>
        <v>324</v>
      </c>
    </row>
    <row r="280" spans="1:11" x14ac:dyDescent="0.3">
      <c r="A280" t="s">
        <v>313</v>
      </c>
      <c r="B280" t="s">
        <v>12</v>
      </c>
      <c r="C280" t="s">
        <v>13</v>
      </c>
      <c r="D280" t="s">
        <v>310</v>
      </c>
      <c r="E280" t="s">
        <v>15</v>
      </c>
      <c r="F280">
        <v>17</v>
      </c>
      <c r="G280">
        <v>17</v>
      </c>
      <c r="H280">
        <v>0</v>
      </c>
      <c r="I280" s="1">
        <v>1712</v>
      </c>
      <c r="J280" s="2">
        <v>150740</v>
      </c>
      <c r="K280">
        <f t="shared" si="4"/>
        <v>289</v>
      </c>
    </row>
    <row r="281" spans="1:11" x14ac:dyDescent="0.3">
      <c r="A281" t="s">
        <v>314</v>
      </c>
      <c r="B281" t="s">
        <v>12</v>
      </c>
      <c r="C281" t="s">
        <v>13</v>
      </c>
      <c r="D281" t="s">
        <v>310</v>
      </c>
      <c r="E281" t="s">
        <v>15</v>
      </c>
      <c r="F281">
        <v>19</v>
      </c>
      <c r="G281">
        <v>19</v>
      </c>
      <c r="H281">
        <v>0</v>
      </c>
      <c r="I281" s="1">
        <v>1914</v>
      </c>
      <c r="J281" s="2">
        <v>150740</v>
      </c>
      <c r="K281">
        <f t="shared" si="4"/>
        <v>361</v>
      </c>
    </row>
    <row r="282" spans="1:11" x14ac:dyDescent="0.3">
      <c r="A282" t="s">
        <v>315</v>
      </c>
      <c r="B282" t="s">
        <v>12</v>
      </c>
      <c r="C282" t="s">
        <v>21</v>
      </c>
      <c r="D282" t="s">
        <v>310</v>
      </c>
      <c r="E282" t="s">
        <v>15</v>
      </c>
      <c r="F282">
        <v>69</v>
      </c>
      <c r="G282">
        <v>69</v>
      </c>
      <c r="H282">
        <v>0</v>
      </c>
      <c r="I282" s="1">
        <v>6946</v>
      </c>
      <c r="J282" s="2">
        <v>141320</v>
      </c>
      <c r="K282">
        <f t="shared" si="4"/>
        <v>4761</v>
      </c>
    </row>
    <row r="283" spans="1:11" x14ac:dyDescent="0.3">
      <c r="A283" t="s">
        <v>316</v>
      </c>
      <c r="B283" t="s">
        <v>12</v>
      </c>
      <c r="C283" t="s">
        <v>21</v>
      </c>
      <c r="D283" t="s">
        <v>310</v>
      </c>
      <c r="E283" t="s">
        <v>15</v>
      </c>
      <c r="F283">
        <v>20</v>
      </c>
      <c r="G283">
        <v>20</v>
      </c>
      <c r="H283">
        <v>0</v>
      </c>
      <c r="I283" s="1">
        <v>2016</v>
      </c>
      <c r="J283" s="2">
        <v>150740</v>
      </c>
      <c r="K283">
        <f t="shared" si="4"/>
        <v>400</v>
      </c>
    </row>
    <row r="284" spans="1:11" x14ac:dyDescent="0.3">
      <c r="A284" t="s">
        <v>317</v>
      </c>
      <c r="B284" t="s">
        <v>12</v>
      </c>
      <c r="C284" t="s">
        <v>21</v>
      </c>
      <c r="D284" t="s">
        <v>310</v>
      </c>
      <c r="E284" t="s">
        <v>15</v>
      </c>
      <c r="F284">
        <v>19</v>
      </c>
      <c r="G284">
        <v>19</v>
      </c>
      <c r="H284">
        <v>0</v>
      </c>
      <c r="I284" s="1">
        <v>1912</v>
      </c>
      <c r="J284" s="2">
        <v>150740</v>
      </c>
      <c r="K284">
        <f t="shared" si="4"/>
        <v>361</v>
      </c>
    </row>
    <row r="285" spans="1:11" x14ac:dyDescent="0.3">
      <c r="A285" t="s">
        <v>318</v>
      </c>
      <c r="B285" t="s">
        <v>12</v>
      </c>
      <c r="C285" t="s">
        <v>21</v>
      </c>
      <c r="D285" t="s">
        <v>310</v>
      </c>
      <c r="E285" t="s">
        <v>15</v>
      </c>
      <c r="F285">
        <v>23</v>
      </c>
      <c r="G285">
        <v>23</v>
      </c>
      <c r="H285">
        <v>0</v>
      </c>
      <c r="I285" s="1">
        <v>2318</v>
      </c>
      <c r="J285" s="2">
        <v>150740</v>
      </c>
      <c r="K285">
        <f t="shared" si="4"/>
        <v>529</v>
      </c>
    </row>
    <row r="286" spans="1:11" x14ac:dyDescent="0.3">
      <c r="A286" t="s">
        <v>319</v>
      </c>
      <c r="B286" t="s">
        <v>12</v>
      </c>
      <c r="C286" t="s">
        <v>21</v>
      </c>
      <c r="D286" t="s">
        <v>310</v>
      </c>
      <c r="E286" t="s">
        <v>15</v>
      </c>
      <c r="F286">
        <v>18</v>
      </c>
      <c r="G286">
        <v>18</v>
      </c>
      <c r="H286">
        <v>0</v>
      </c>
      <c r="I286" s="1">
        <v>1810</v>
      </c>
      <c r="J286" s="2">
        <v>150740</v>
      </c>
      <c r="K286">
        <f t="shared" si="4"/>
        <v>324</v>
      </c>
    </row>
    <row r="287" spans="1:11" x14ac:dyDescent="0.3">
      <c r="A287" t="s">
        <v>320</v>
      </c>
      <c r="B287" t="s">
        <v>12</v>
      </c>
      <c r="C287" t="s">
        <v>27</v>
      </c>
      <c r="D287" t="s">
        <v>310</v>
      </c>
      <c r="E287" t="s">
        <v>15</v>
      </c>
      <c r="F287">
        <v>213</v>
      </c>
      <c r="G287">
        <v>200</v>
      </c>
      <c r="H287">
        <v>0</v>
      </c>
      <c r="I287" s="1">
        <v>21448</v>
      </c>
      <c r="J287" s="2">
        <v>114313</v>
      </c>
      <c r="K287">
        <f t="shared" si="4"/>
        <v>42600</v>
      </c>
    </row>
    <row r="288" spans="1:11" x14ac:dyDescent="0.3">
      <c r="A288" t="s">
        <v>321</v>
      </c>
      <c r="B288" t="s">
        <v>12</v>
      </c>
      <c r="C288" t="s">
        <v>27</v>
      </c>
      <c r="D288" t="s">
        <v>310</v>
      </c>
      <c r="E288" t="s">
        <v>15</v>
      </c>
      <c r="F288">
        <v>82</v>
      </c>
      <c r="G288">
        <v>79</v>
      </c>
      <c r="H288">
        <v>0</v>
      </c>
      <c r="I288" s="1">
        <v>8259</v>
      </c>
      <c r="J288" s="2">
        <v>135535</v>
      </c>
      <c r="K288">
        <f t="shared" si="4"/>
        <v>6478</v>
      </c>
    </row>
    <row r="289" spans="1:11" x14ac:dyDescent="0.3">
      <c r="A289" t="s">
        <v>322</v>
      </c>
      <c r="B289" t="s">
        <v>12</v>
      </c>
      <c r="C289" t="s">
        <v>27</v>
      </c>
      <c r="D289" t="s">
        <v>310</v>
      </c>
      <c r="E289" t="s">
        <v>15</v>
      </c>
      <c r="F289">
        <v>87</v>
      </c>
      <c r="G289">
        <v>83</v>
      </c>
      <c r="H289">
        <v>0</v>
      </c>
      <c r="I289" s="1">
        <v>8761</v>
      </c>
      <c r="J289" s="2">
        <v>133699</v>
      </c>
      <c r="K289">
        <f t="shared" si="4"/>
        <v>7221</v>
      </c>
    </row>
    <row r="290" spans="1:11" x14ac:dyDescent="0.3">
      <c r="A290" t="s">
        <v>323</v>
      </c>
      <c r="B290" t="s">
        <v>12</v>
      </c>
      <c r="C290" t="s">
        <v>27</v>
      </c>
      <c r="D290" t="s">
        <v>310</v>
      </c>
      <c r="E290" t="s">
        <v>15</v>
      </c>
      <c r="F290">
        <v>89</v>
      </c>
      <c r="G290">
        <v>86</v>
      </c>
      <c r="H290">
        <v>0</v>
      </c>
      <c r="I290" s="1">
        <v>8967</v>
      </c>
      <c r="J290" s="2">
        <v>132749</v>
      </c>
      <c r="K290">
        <f t="shared" si="4"/>
        <v>7654</v>
      </c>
    </row>
    <row r="291" spans="1:11" x14ac:dyDescent="0.3">
      <c r="A291" t="s">
        <v>324</v>
      </c>
      <c r="B291" t="s">
        <v>12</v>
      </c>
      <c r="C291" t="s">
        <v>27</v>
      </c>
      <c r="D291" t="s">
        <v>310</v>
      </c>
      <c r="E291" t="s">
        <v>15</v>
      </c>
      <c r="F291">
        <v>74</v>
      </c>
      <c r="G291">
        <v>71</v>
      </c>
      <c r="H291">
        <v>0</v>
      </c>
      <c r="I291" s="1">
        <v>7455</v>
      </c>
      <c r="J291" s="2">
        <v>139377</v>
      </c>
      <c r="K291">
        <f t="shared" si="4"/>
        <v>5254</v>
      </c>
    </row>
    <row r="292" spans="1:11" x14ac:dyDescent="0.3">
      <c r="A292" t="s">
        <v>325</v>
      </c>
      <c r="B292" t="s">
        <v>12</v>
      </c>
      <c r="C292" t="s">
        <v>35</v>
      </c>
      <c r="D292" t="s">
        <v>310</v>
      </c>
      <c r="E292" t="s">
        <v>30</v>
      </c>
      <c r="F292">
        <v>300</v>
      </c>
      <c r="G292">
        <v>288</v>
      </c>
      <c r="H292">
        <v>1</v>
      </c>
      <c r="I292" s="1">
        <v>30279</v>
      </c>
      <c r="J292" t="s">
        <v>31</v>
      </c>
      <c r="K292">
        <f t="shared" si="4"/>
        <v>129601.79999999999</v>
      </c>
    </row>
    <row r="293" spans="1:11" x14ac:dyDescent="0.3">
      <c r="A293" t="s">
        <v>326</v>
      </c>
      <c r="B293" t="s">
        <v>12</v>
      </c>
      <c r="C293" t="s">
        <v>35</v>
      </c>
      <c r="D293" t="s">
        <v>310</v>
      </c>
      <c r="E293" t="s">
        <v>15</v>
      </c>
      <c r="F293">
        <v>198</v>
      </c>
      <c r="G293">
        <v>192</v>
      </c>
      <c r="H293">
        <v>1</v>
      </c>
      <c r="I293" s="1">
        <v>20022</v>
      </c>
      <c r="J293" s="2">
        <v>115102</v>
      </c>
      <c r="K293">
        <f t="shared" si="4"/>
        <v>38017.199999999997</v>
      </c>
    </row>
    <row r="294" spans="1:11" x14ac:dyDescent="0.3">
      <c r="A294" t="s">
        <v>327</v>
      </c>
      <c r="B294" t="s">
        <v>12</v>
      </c>
      <c r="C294" t="s">
        <v>35</v>
      </c>
      <c r="D294" t="s">
        <v>310</v>
      </c>
      <c r="E294" t="s">
        <v>15</v>
      </c>
      <c r="F294">
        <v>59</v>
      </c>
      <c r="G294">
        <v>59</v>
      </c>
      <c r="H294">
        <v>0</v>
      </c>
      <c r="I294" s="1">
        <v>5944</v>
      </c>
      <c r="J294" s="2">
        <v>148198</v>
      </c>
      <c r="K294">
        <f t="shared" si="4"/>
        <v>3481</v>
      </c>
    </row>
    <row r="295" spans="1:11" x14ac:dyDescent="0.3">
      <c r="A295" t="s">
        <v>328</v>
      </c>
      <c r="B295" t="s">
        <v>12</v>
      </c>
      <c r="C295" t="s">
        <v>35</v>
      </c>
      <c r="D295" t="s">
        <v>310</v>
      </c>
      <c r="E295" t="s">
        <v>15</v>
      </c>
      <c r="F295">
        <v>42</v>
      </c>
      <c r="G295">
        <v>42</v>
      </c>
      <c r="H295">
        <v>0</v>
      </c>
      <c r="I295" s="1">
        <v>4227</v>
      </c>
      <c r="J295" s="2">
        <v>150740</v>
      </c>
      <c r="K295">
        <f t="shared" si="4"/>
        <v>1764</v>
      </c>
    </row>
    <row r="296" spans="1:11" x14ac:dyDescent="0.3">
      <c r="A296" t="s">
        <v>329</v>
      </c>
      <c r="B296" t="s">
        <v>12</v>
      </c>
      <c r="C296" t="s">
        <v>35</v>
      </c>
      <c r="D296" t="s">
        <v>310</v>
      </c>
      <c r="E296" t="s">
        <v>15</v>
      </c>
      <c r="F296">
        <v>47</v>
      </c>
      <c r="G296">
        <v>47</v>
      </c>
      <c r="H296">
        <v>0</v>
      </c>
      <c r="I296" s="1">
        <v>4734</v>
      </c>
      <c r="J296" s="2">
        <v>150740</v>
      </c>
      <c r="K296">
        <f t="shared" si="4"/>
        <v>2209</v>
      </c>
    </row>
    <row r="297" spans="1:11" x14ac:dyDescent="0.3">
      <c r="A297" t="s">
        <v>330</v>
      </c>
      <c r="B297" t="s">
        <v>12</v>
      </c>
      <c r="C297" t="s">
        <v>42</v>
      </c>
      <c r="D297" t="s">
        <v>310</v>
      </c>
      <c r="E297" t="s">
        <v>15</v>
      </c>
      <c r="F297">
        <v>82</v>
      </c>
      <c r="G297">
        <v>80</v>
      </c>
      <c r="H297">
        <v>0</v>
      </c>
      <c r="I297" s="1">
        <v>8258</v>
      </c>
      <c r="J297" s="2">
        <v>135313</v>
      </c>
      <c r="K297">
        <f t="shared" si="4"/>
        <v>6560</v>
      </c>
    </row>
    <row r="298" spans="1:11" x14ac:dyDescent="0.3">
      <c r="A298" t="s">
        <v>331</v>
      </c>
      <c r="B298" t="s">
        <v>12</v>
      </c>
      <c r="C298" t="s">
        <v>42</v>
      </c>
      <c r="D298" t="s">
        <v>310</v>
      </c>
      <c r="E298" t="s">
        <v>15</v>
      </c>
      <c r="F298">
        <v>33</v>
      </c>
      <c r="G298">
        <v>33</v>
      </c>
      <c r="H298">
        <v>0</v>
      </c>
      <c r="I298" s="1">
        <v>3325</v>
      </c>
      <c r="J298" s="2">
        <v>150740</v>
      </c>
      <c r="K298">
        <f t="shared" si="4"/>
        <v>1089</v>
      </c>
    </row>
    <row r="299" spans="1:11" x14ac:dyDescent="0.3">
      <c r="A299" t="s">
        <v>332</v>
      </c>
      <c r="B299" t="s">
        <v>12</v>
      </c>
      <c r="C299" t="s">
        <v>42</v>
      </c>
      <c r="D299" t="s">
        <v>310</v>
      </c>
      <c r="E299" t="s">
        <v>15</v>
      </c>
      <c r="F299">
        <v>37</v>
      </c>
      <c r="G299">
        <v>37</v>
      </c>
      <c r="H299">
        <v>0</v>
      </c>
      <c r="I299" s="1">
        <v>3728</v>
      </c>
      <c r="J299" s="2">
        <v>150740</v>
      </c>
      <c r="K299">
        <f t="shared" si="4"/>
        <v>1369</v>
      </c>
    </row>
    <row r="300" spans="1:11" x14ac:dyDescent="0.3">
      <c r="A300" t="s">
        <v>333</v>
      </c>
      <c r="B300" t="s">
        <v>12</v>
      </c>
      <c r="C300" t="s">
        <v>42</v>
      </c>
      <c r="D300" t="s">
        <v>310</v>
      </c>
      <c r="E300" t="s">
        <v>15</v>
      </c>
      <c r="F300">
        <v>29</v>
      </c>
      <c r="G300">
        <v>29</v>
      </c>
      <c r="H300">
        <v>0</v>
      </c>
      <c r="I300" s="1">
        <v>2915</v>
      </c>
      <c r="J300" s="2">
        <v>150740</v>
      </c>
      <c r="K300">
        <f t="shared" si="4"/>
        <v>841</v>
      </c>
    </row>
    <row r="301" spans="1:11" x14ac:dyDescent="0.3">
      <c r="A301" t="s">
        <v>334</v>
      </c>
      <c r="B301" t="s">
        <v>12</v>
      </c>
      <c r="C301" t="s">
        <v>42</v>
      </c>
      <c r="D301" t="s">
        <v>310</v>
      </c>
      <c r="E301" t="s">
        <v>15</v>
      </c>
      <c r="F301">
        <v>11</v>
      </c>
      <c r="G301">
        <v>11</v>
      </c>
      <c r="H301">
        <v>0</v>
      </c>
      <c r="I301" s="1">
        <v>1104</v>
      </c>
      <c r="J301" s="2">
        <v>150740</v>
      </c>
      <c r="K301">
        <f t="shared" si="4"/>
        <v>121</v>
      </c>
    </row>
    <row r="302" spans="1:11" x14ac:dyDescent="0.3">
      <c r="A302" t="s">
        <v>335</v>
      </c>
      <c r="B302" t="s">
        <v>12</v>
      </c>
      <c r="C302" t="s">
        <v>13</v>
      </c>
      <c r="D302" t="s">
        <v>336</v>
      </c>
      <c r="E302" t="s">
        <v>15</v>
      </c>
      <c r="F302">
        <v>33</v>
      </c>
      <c r="G302">
        <v>33</v>
      </c>
      <c r="H302">
        <v>0</v>
      </c>
      <c r="I302" s="1">
        <v>3320</v>
      </c>
      <c r="J302" s="2">
        <v>150740</v>
      </c>
      <c r="K302">
        <f t="shared" si="4"/>
        <v>1089</v>
      </c>
    </row>
    <row r="303" spans="1:11" x14ac:dyDescent="0.3">
      <c r="A303" t="s">
        <v>337</v>
      </c>
      <c r="B303" t="s">
        <v>12</v>
      </c>
      <c r="C303" t="s">
        <v>13</v>
      </c>
      <c r="D303" t="s">
        <v>336</v>
      </c>
      <c r="E303" t="s">
        <v>15</v>
      </c>
      <c r="F303">
        <v>17</v>
      </c>
      <c r="G303">
        <v>17</v>
      </c>
      <c r="H303">
        <v>0</v>
      </c>
      <c r="I303" s="1">
        <v>1710</v>
      </c>
      <c r="J303" s="2">
        <v>150740</v>
      </c>
      <c r="K303">
        <f t="shared" si="4"/>
        <v>289</v>
      </c>
    </row>
    <row r="304" spans="1:11" x14ac:dyDescent="0.3">
      <c r="A304" t="s">
        <v>338</v>
      </c>
      <c r="B304" t="s">
        <v>12</v>
      </c>
      <c r="C304" t="s">
        <v>13</v>
      </c>
      <c r="D304" t="s">
        <v>336</v>
      </c>
      <c r="E304" t="s">
        <v>15</v>
      </c>
      <c r="F304">
        <v>17</v>
      </c>
      <c r="G304">
        <v>17</v>
      </c>
      <c r="H304">
        <v>0</v>
      </c>
      <c r="I304" s="1">
        <v>1712</v>
      </c>
      <c r="J304" s="2">
        <v>150740</v>
      </c>
      <c r="K304">
        <f t="shared" si="4"/>
        <v>289</v>
      </c>
    </row>
    <row r="305" spans="1:11" x14ac:dyDescent="0.3">
      <c r="A305" t="s">
        <v>339</v>
      </c>
      <c r="B305" t="s">
        <v>12</v>
      </c>
      <c r="C305" t="s">
        <v>13</v>
      </c>
      <c r="D305" t="s">
        <v>336</v>
      </c>
      <c r="E305" t="s">
        <v>15</v>
      </c>
      <c r="F305">
        <v>15</v>
      </c>
      <c r="G305">
        <v>15</v>
      </c>
      <c r="H305">
        <v>0</v>
      </c>
      <c r="I305" s="1">
        <v>1512</v>
      </c>
      <c r="J305" s="2">
        <v>150740</v>
      </c>
      <c r="K305">
        <f t="shared" si="4"/>
        <v>225</v>
      </c>
    </row>
    <row r="306" spans="1:11" x14ac:dyDescent="0.3">
      <c r="A306" t="s">
        <v>340</v>
      </c>
      <c r="B306" t="s">
        <v>12</v>
      </c>
      <c r="C306" t="s">
        <v>13</v>
      </c>
      <c r="D306" t="s">
        <v>336</v>
      </c>
      <c r="E306" t="s">
        <v>15</v>
      </c>
      <c r="F306">
        <v>17</v>
      </c>
      <c r="G306">
        <v>17</v>
      </c>
      <c r="H306">
        <v>0</v>
      </c>
      <c r="I306" s="1">
        <v>1711</v>
      </c>
      <c r="J306" s="2">
        <v>150740</v>
      </c>
      <c r="K306">
        <f t="shared" si="4"/>
        <v>289</v>
      </c>
    </row>
    <row r="307" spans="1:11" x14ac:dyDescent="0.3">
      <c r="A307" t="s">
        <v>341</v>
      </c>
      <c r="B307" t="s">
        <v>12</v>
      </c>
      <c r="C307" t="s">
        <v>21</v>
      </c>
      <c r="D307" t="s">
        <v>336</v>
      </c>
      <c r="E307" t="s">
        <v>15</v>
      </c>
      <c r="F307">
        <v>70</v>
      </c>
      <c r="G307">
        <v>70</v>
      </c>
      <c r="H307">
        <v>0</v>
      </c>
      <c r="I307" s="1">
        <v>7044</v>
      </c>
      <c r="J307" s="2">
        <v>140740</v>
      </c>
      <c r="K307">
        <f t="shared" si="4"/>
        <v>4900</v>
      </c>
    </row>
    <row r="308" spans="1:11" x14ac:dyDescent="0.3">
      <c r="A308" t="s">
        <v>342</v>
      </c>
      <c r="B308" t="s">
        <v>12</v>
      </c>
      <c r="C308" t="s">
        <v>21</v>
      </c>
      <c r="D308" t="s">
        <v>336</v>
      </c>
      <c r="E308" t="s">
        <v>15</v>
      </c>
      <c r="F308">
        <v>27</v>
      </c>
      <c r="G308">
        <v>27</v>
      </c>
      <c r="H308">
        <v>0</v>
      </c>
      <c r="I308" s="1">
        <v>2715</v>
      </c>
      <c r="J308" s="2">
        <v>150740</v>
      </c>
      <c r="K308">
        <f t="shared" si="4"/>
        <v>729</v>
      </c>
    </row>
    <row r="309" spans="1:11" x14ac:dyDescent="0.3">
      <c r="A309" t="s">
        <v>343</v>
      </c>
      <c r="B309" t="s">
        <v>12</v>
      </c>
      <c r="C309" t="s">
        <v>21</v>
      </c>
      <c r="D309" t="s">
        <v>336</v>
      </c>
      <c r="E309" t="s">
        <v>15</v>
      </c>
      <c r="F309">
        <v>16</v>
      </c>
      <c r="G309">
        <v>16</v>
      </c>
      <c r="H309">
        <v>0</v>
      </c>
      <c r="I309" s="1">
        <v>1608</v>
      </c>
      <c r="J309" s="2">
        <v>150740</v>
      </c>
      <c r="K309">
        <f t="shared" si="4"/>
        <v>256</v>
      </c>
    </row>
    <row r="310" spans="1:11" x14ac:dyDescent="0.3">
      <c r="A310" t="s">
        <v>344</v>
      </c>
      <c r="B310" t="s">
        <v>12</v>
      </c>
      <c r="C310" t="s">
        <v>21</v>
      </c>
      <c r="D310" t="s">
        <v>336</v>
      </c>
      <c r="E310" t="s">
        <v>15</v>
      </c>
      <c r="F310">
        <v>18</v>
      </c>
      <c r="G310">
        <v>18</v>
      </c>
      <c r="H310">
        <v>0</v>
      </c>
      <c r="I310" s="1">
        <v>1812</v>
      </c>
      <c r="J310" s="2">
        <v>150740</v>
      </c>
      <c r="K310">
        <f t="shared" si="4"/>
        <v>324</v>
      </c>
    </row>
    <row r="311" spans="1:11" x14ac:dyDescent="0.3">
      <c r="A311" t="s">
        <v>345</v>
      </c>
      <c r="B311" t="s">
        <v>12</v>
      </c>
      <c r="C311" t="s">
        <v>21</v>
      </c>
      <c r="D311" t="s">
        <v>336</v>
      </c>
      <c r="E311" t="s">
        <v>15</v>
      </c>
      <c r="F311">
        <v>17</v>
      </c>
      <c r="G311">
        <v>17</v>
      </c>
      <c r="H311">
        <v>0</v>
      </c>
      <c r="I311" s="1">
        <v>1714</v>
      </c>
      <c r="J311" s="2">
        <v>150740</v>
      </c>
      <c r="K311">
        <f t="shared" si="4"/>
        <v>289</v>
      </c>
    </row>
    <row r="312" spans="1:11" x14ac:dyDescent="0.3">
      <c r="A312" t="s">
        <v>346</v>
      </c>
      <c r="B312" t="s">
        <v>12</v>
      </c>
      <c r="C312" t="s">
        <v>27</v>
      </c>
      <c r="D312" t="s">
        <v>336</v>
      </c>
      <c r="E312" t="s">
        <v>15</v>
      </c>
      <c r="F312">
        <v>146</v>
      </c>
      <c r="G312">
        <v>142</v>
      </c>
      <c r="H312">
        <v>0</v>
      </c>
      <c r="I312" s="1">
        <v>14697</v>
      </c>
      <c r="J312" s="2">
        <v>120188</v>
      </c>
      <c r="K312">
        <f t="shared" si="4"/>
        <v>20732</v>
      </c>
    </row>
    <row r="313" spans="1:11" x14ac:dyDescent="0.3">
      <c r="A313" t="s">
        <v>347</v>
      </c>
      <c r="B313" t="s">
        <v>12</v>
      </c>
      <c r="C313" t="s">
        <v>27</v>
      </c>
      <c r="D313" t="s">
        <v>336</v>
      </c>
      <c r="E313" t="s">
        <v>15</v>
      </c>
      <c r="F313">
        <v>160</v>
      </c>
      <c r="G313">
        <v>157</v>
      </c>
      <c r="H313">
        <v>0</v>
      </c>
      <c r="I313" s="1">
        <v>16097</v>
      </c>
      <c r="J313" s="2">
        <v>118407</v>
      </c>
      <c r="K313">
        <f t="shared" si="4"/>
        <v>25120</v>
      </c>
    </row>
    <row r="314" spans="1:11" x14ac:dyDescent="0.3">
      <c r="A314" t="s">
        <v>348</v>
      </c>
      <c r="B314" t="s">
        <v>12</v>
      </c>
      <c r="C314" t="s">
        <v>27</v>
      </c>
      <c r="D314" t="s">
        <v>336</v>
      </c>
      <c r="E314" t="s">
        <v>15</v>
      </c>
      <c r="F314">
        <v>137</v>
      </c>
      <c r="G314">
        <v>134</v>
      </c>
      <c r="H314">
        <v>0</v>
      </c>
      <c r="I314" s="1">
        <v>13781</v>
      </c>
      <c r="J314" s="2">
        <v>121407</v>
      </c>
      <c r="K314">
        <f t="shared" si="4"/>
        <v>18358</v>
      </c>
    </row>
    <row r="315" spans="1:11" x14ac:dyDescent="0.3">
      <c r="A315" t="s">
        <v>349</v>
      </c>
      <c r="B315" t="s">
        <v>12</v>
      </c>
      <c r="C315" t="s">
        <v>27</v>
      </c>
      <c r="D315" t="s">
        <v>336</v>
      </c>
      <c r="E315" t="s">
        <v>15</v>
      </c>
      <c r="F315">
        <v>128</v>
      </c>
      <c r="G315">
        <v>125</v>
      </c>
      <c r="H315">
        <v>0</v>
      </c>
      <c r="I315" s="1">
        <v>12887</v>
      </c>
      <c r="J315" s="2">
        <v>122877</v>
      </c>
      <c r="K315">
        <f t="shared" si="4"/>
        <v>16000</v>
      </c>
    </row>
    <row r="316" spans="1:11" x14ac:dyDescent="0.3">
      <c r="A316" t="s">
        <v>350</v>
      </c>
      <c r="B316" t="s">
        <v>12</v>
      </c>
      <c r="C316" t="s">
        <v>27</v>
      </c>
      <c r="D316" t="s">
        <v>336</v>
      </c>
      <c r="E316" t="s">
        <v>15</v>
      </c>
      <c r="F316">
        <v>134</v>
      </c>
      <c r="G316">
        <v>131</v>
      </c>
      <c r="H316">
        <v>0</v>
      </c>
      <c r="I316" s="1">
        <v>13478</v>
      </c>
      <c r="J316" s="2">
        <v>121875</v>
      </c>
      <c r="K316">
        <f t="shared" si="4"/>
        <v>17554</v>
      </c>
    </row>
    <row r="317" spans="1:11" x14ac:dyDescent="0.3">
      <c r="A317" t="s">
        <v>351</v>
      </c>
      <c r="B317" t="s">
        <v>12</v>
      </c>
      <c r="C317" t="s">
        <v>35</v>
      </c>
      <c r="D317" t="s">
        <v>336</v>
      </c>
      <c r="E317" t="s">
        <v>30</v>
      </c>
      <c r="F317">
        <v>300</v>
      </c>
      <c r="G317">
        <v>288</v>
      </c>
      <c r="H317">
        <v>0</v>
      </c>
      <c r="I317" s="1">
        <v>30191</v>
      </c>
      <c r="J317" t="s">
        <v>31</v>
      </c>
      <c r="K317">
        <f t="shared" si="4"/>
        <v>129600</v>
      </c>
    </row>
    <row r="318" spans="1:11" x14ac:dyDescent="0.3">
      <c r="A318" t="s">
        <v>352</v>
      </c>
      <c r="B318" t="s">
        <v>12</v>
      </c>
      <c r="C318" t="s">
        <v>35</v>
      </c>
      <c r="D318" t="s">
        <v>336</v>
      </c>
      <c r="E318" t="s">
        <v>15</v>
      </c>
      <c r="F318">
        <v>83</v>
      </c>
      <c r="G318">
        <v>78</v>
      </c>
      <c r="H318">
        <v>0</v>
      </c>
      <c r="I318" s="1">
        <v>8365</v>
      </c>
      <c r="J318" s="2">
        <v>135556</v>
      </c>
      <c r="K318">
        <f t="shared" si="4"/>
        <v>6474</v>
      </c>
    </row>
    <row r="319" spans="1:11" x14ac:dyDescent="0.3">
      <c r="A319" t="s">
        <v>353</v>
      </c>
      <c r="B319" t="s">
        <v>12</v>
      </c>
      <c r="C319" t="s">
        <v>35</v>
      </c>
      <c r="D319" t="s">
        <v>336</v>
      </c>
      <c r="E319" t="s">
        <v>15</v>
      </c>
      <c r="F319">
        <v>139</v>
      </c>
      <c r="G319">
        <v>135</v>
      </c>
      <c r="H319">
        <v>0</v>
      </c>
      <c r="I319" s="1">
        <v>13982</v>
      </c>
      <c r="J319" s="2">
        <v>121182</v>
      </c>
      <c r="K319">
        <f t="shared" si="4"/>
        <v>18765</v>
      </c>
    </row>
    <row r="320" spans="1:11" x14ac:dyDescent="0.3">
      <c r="A320" t="s">
        <v>354</v>
      </c>
      <c r="B320" t="s">
        <v>12</v>
      </c>
      <c r="C320" t="s">
        <v>35</v>
      </c>
      <c r="D320" t="s">
        <v>336</v>
      </c>
      <c r="E320" t="s">
        <v>30</v>
      </c>
      <c r="F320">
        <v>300</v>
      </c>
      <c r="G320">
        <v>296</v>
      </c>
      <c r="H320">
        <v>0</v>
      </c>
      <c r="I320" s="1">
        <v>30180</v>
      </c>
      <c r="J320" t="s">
        <v>31</v>
      </c>
      <c r="K320">
        <f t="shared" si="4"/>
        <v>133200</v>
      </c>
    </row>
    <row r="321" spans="1:11" x14ac:dyDescent="0.3">
      <c r="A321" t="s">
        <v>355</v>
      </c>
      <c r="B321" t="s">
        <v>12</v>
      </c>
      <c r="C321" t="s">
        <v>35</v>
      </c>
      <c r="D321" t="s">
        <v>336</v>
      </c>
      <c r="E321" t="s">
        <v>15</v>
      </c>
      <c r="F321">
        <v>100</v>
      </c>
      <c r="G321">
        <v>96</v>
      </c>
      <c r="H321">
        <v>0</v>
      </c>
      <c r="I321" s="1">
        <v>10065</v>
      </c>
      <c r="J321" s="2">
        <v>129323</v>
      </c>
      <c r="K321">
        <f t="shared" si="4"/>
        <v>9600</v>
      </c>
    </row>
    <row r="322" spans="1:11" x14ac:dyDescent="0.3">
      <c r="A322" t="s">
        <v>356</v>
      </c>
      <c r="B322" t="s">
        <v>12</v>
      </c>
      <c r="C322" t="s">
        <v>42</v>
      </c>
      <c r="D322" t="s">
        <v>336</v>
      </c>
      <c r="E322" t="s">
        <v>15</v>
      </c>
      <c r="F322">
        <v>51</v>
      </c>
      <c r="G322">
        <v>51</v>
      </c>
      <c r="H322">
        <v>0</v>
      </c>
      <c r="I322" s="1">
        <v>5128</v>
      </c>
      <c r="J322" s="2">
        <v>150740</v>
      </c>
      <c r="K322">
        <f t="shared" si="4"/>
        <v>2601</v>
      </c>
    </row>
    <row r="323" spans="1:11" x14ac:dyDescent="0.3">
      <c r="A323" t="s">
        <v>357</v>
      </c>
      <c r="B323" t="s">
        <v>12</v>
      </c>
      <c r="C323" t="s">
        <v>42</v>
      </c>
      <c r="D323" t="s">
        <v>336</v>
      </c>
      <c r="E323" t="s">
        <v>15</v>
      </c>
      <c r="F323">
        <v>84</v>
      </c>
      <c r="G323">
        <v>84</v>
      </c>
      <c r="H323">
        <v>0</v>
      </c>
      <c r="I323" s="1">
        <v>8458</v>
      </c>
      <c r="J323" s="2">
        <v>134073</v>
      </c>
      <c r="K323">
        <f t="shared" ref="K323:K376" si="5">SUM(((F323*G323)+(H323*1.2))*IF(E323="complete",1,1.5))</f>
        <v>7056</v>
      </c>
    </row>
    <row r="324" spans="1:11" x14ac:dyDescent="0.3">
      <c r="A324" t="s">
        <v>358</v>
      </c>
      <c r="B324" t="s">
        <v>12</v>
      </c>
      <c r="C324" t="s">
        <v>42</v>
      </c>
      <c r="D324" t="s">
        <v>336</v>
      </c>
      <c r="E324" t="s">
        <v>15</v>
      </c>
      <c r="F324">
        <v>61</v>
      </c>
      <c r="G324">
        <v>61</v>
      </c>
      <c r="H324">
        <v>0</v>
      </c>
      <c r="I324" s="1">
        <v>6139</v>
      </c>
      <c r="J324" s="2">
        <v>146642</v>
      </c>
      <c r="K324">
        <f t="shared" si="5"/>
        <v>3721</v>
      </c>
    </row>
    <row r="325" spans="1:11" x14ac:dyDescent="0.3">
      <c r="A325" t="s">
        <v>359</v>
      </c>
      <c r="B325" t="s">
        <v>12</v>
      </c>
      <c r="C325" t="s">
        <v>42</v>
      </c>
      <c r="D325" t="s">
        <v>336</v>
      </c>
      <c r="E325" t="s">
        <v>15</v>
      </c>
      <c r="F325">
        <v>61</v>
      </c>
      <c r="G325">
        <v>61</v>
      </c>
      <c r="H325">
        <v>0</v>
      </c>
      <c r="I325" s="1">
        <v>6144</v>
      </c>
      <c r="J325" s="2">
        <v>146642</v>
      </c>
      <c r="K325">
        <f t="shared" si="5"/>
        <v>3721</v>
      </c>
    </row>
    <row r="326" spans="1:11" x14ac:dyDescent="0.3">
      <c r="A326" t="s">
        <v>360</v>
      </c>
      <c r="B326" t="s">
        <v>12</v>
      </c>
      <c r="C326" t="s">
        <v>42</v>
      </c>
      <c r="D326" t="s">
        <v>336</v>
      </c>
      <c r="E326" t="s">
        <v>15</v>
      </c>
      <c r="F326">
        <v>175</v>
      </c>
      <c r="G326">
        <v>165</v>
      </c>
      <c r="H326">
        <v>0</v>
      </c>
      <c r="I326" s="1">
        <v>17616</v>
      </c>
      <c r="J326" s="2">
        <v>117225</v>
      </c>
      <c r="K326">
        <f t="shared" si="5"/>
        <v>28875</v>
      </c>
    </row>
    <row r="327" spans="1:11" x14ac:dyDescent="0.3">
      <c r="A327" t="s">
        <v>361</v>
      </c>
      <c r="B327" t="s">
        <v>12</v>
      </c>
      <c r="C327" t="s">
        <v>13</v>
      </c>
      <c r="D327" t="s">
        <v>362</v>
      </c>
      <c r="E327" t="s">
        <v>15</v>
      </c>
      <c r="F327">
        <v>45</v>
      </c>
      <c r="G327">
        <v>45</v>
      </c>
      <c r="H327">
        <v>0</v>
      </c>
      <c r="I327" s="1">
        <v>4533</v>
      </c>
      <c r="J327" s="2">
        <v>150740</v>
      </c>
      <c r="K327">
        <f t="shared" si="5"/>
        <v>2025</v>
      </c>
    </row>
    <row r="328" spans="1:11" x14ac:dyDescent="0.3">
      <c r="A328" t="s">
        <v>363</v>
      </c>
      <c r="B328" t="s">
        <v>12</v>
      </c>
      <c r="C328" t="s">
        <v>13</v>
      </c>
      <c r="D328" t="s">
        <v>362</v>
      </c>
      <c r="E328" t="s">
        <v>15</v>
      </c>
      <c r="F328">
        <v>28</v>
      </c>
      <c r="G328">
        <v>28</v>
      </c>
      <c r="H328">
        <v>0</v>
      </c>
      <c r="I328" s="1">
        <v>2819</v>
      </c>
      <c r="J328" s="2">
        <v>150740</v>
      </c>
      <c r="K328">
        <f t="shared" si="5"/>
        <v>784</v>
      </c>
    </row>
    <row r="329" spans="1:11" x14ac:dyDescent="0.3">
      <c r="A329" t="s">
        <v>364</v>
      </c>
      <c r="B329" t="s">
        <v>12</v>
      </c>
      <c r="C329" t="s">
        <v>13</v>
      </c>
      <c r="D329" t="s">
        <v>362</v>
      </c>
      <c r="E329" t="s">
        <v>15</v>
      </c>
      <c r="F329">
        <v>17</v>
      </c>
      <c r="G329">
        <v>17</v>
      </c>
      <c r="H329">
        <v>0</v>
      </c>
      <c r="I329" s="1">
        <v>1714</v>
      </c>
      <c r="J329" s="2">
        <v>150740</v>
      </c>
      <c r="K329">
        <f t="shared" si="5"/>
        <v>289</v>
      </c>
    </row>
    <row r="330" spans="1:11" x14ac:dyDescent="0.3">
      <c r="A330" t="s">
        <v>365</v>
      </c>
      <c r="B330" t="s">
        <v>12</v>
      </c>
      <c r="C330" t="s">
        <v>13</v>
      </c>
      <c r="D330" t="s">
        <v>362</v>
      </c>
      <c r="E330" t="s">
        <v>15</v>
      </c>
      <c r="F330">
        <v>16</v>
      </c>
      <c r="G330">
        <v>16</v>
      </c>
      <c r="H330">
        <v>0</v>
      </c>
      <c r="I330" s="1">
        <v>1610</v>
      </c>
      <c r="J330" s="2">
        <v>150740</v>
      </c>
      <c r="K330">
        <f t="shared" si="5"/>
        <v>256</v>
      </c>
    </row>
    <row r="331" spans="1:11" x14ac:dyDescent="0.3">
      <c r="A331" t="s">
        <v>366</v>
      </c>
      <c r="B331" t="s">
        <v>12</v>
      </c>
      <c r="C331" t="s">
        <v>13</v>
      </c>
      <c r="D331" t="s">
        <v>362</v>
      </c>
      <c r="E331" t="s">
        <v>15</v>
      </c>
      <c r="F331">
        <v>16</v>
      </c>
      <c r="G331">
        <v>16</v>
      </c>
      <c r="H331">
        <v>0</v>
      </c>
      <c r="I331" s="1">
        <v>1611</v>
      </c>
      <c r="J331" s="2">
        <v>150740</v>
      </c>
      <c r="K331">
        <f t="shared" si="5"/>
        <v>256</v>
      </c>
    </row>
    <row r="332" spans="1:11" x14ac:dyDescent="0.3">
      <c r="A332" t="s">
        <v>367</v>
      </c>
      <c r="B332" t="s">
        <v>12</v>
      </c>
      <c r="C332" t="s">
        <v>21</v>
      </c>
      <c r="D332" t="s">
        <v>362</v>
      </c>
      <c r="E332" t="s">
        <v>15</v>
      </c>
      <c r="F332">
        <v>42</v>
      </c>
      <c r="G332">
        <v>42</v>
      </c>
      <c r="H332">
        <v>0</v>
      </c>
      <c r="I332" s="1">
        <v>4228</v>
      </c>
      <c r="J332" s="2">
        <v>150740</v>
      </c>
      <c r="K332">
        <f t="shared" si="5"/>
        <v>1764</v>
      </c>
    </row>
    <row r="333" spans="1:11" x14ac:dyDescent="0.3">
      <c r="A333" t="s">
        <v>368</v>
      </c>
      <c r="B333" t="s">
        <v>12</v>
      </c>
      <c r="C333" t="s">
        <v>21</v>
      </c>
      <c r="D333" t="s">
        <v>362</v>
      </c>
      <c r="E333" t="s">
        <v>15</v>
      </c>
      <c r="F333">
        <v>27</v>
      </c>
      <c r="G333">
        <v>27</v>
      </c>
      <c r="H333">
        <v>0</v>
      </c>
      <c r="I333" s="1">
        <v>2717</v>
      </c>
      <c r="J333" s="2">
        <v>150740</v>
      </c>
      <c r="K333">
        <f t="shared" si="5"/>
        <v>729</v>
      </c>
    </row>
    <row r="334" spans="1:11" x14ac:dyDescent="0.3">
      <c r="A334" t="s">
        <v>369</v>
      </c>
      <c r="B334" t="s">
        <v>12</v>
      </c>
      <c r="C334" t="s">
        <v>21</v>
      </c>
      <c r="D334" t="s">
        <v>362</v>
      </c>
      <c r="E334" t="s">
        <v>15</v>
      </c>
      <c r="F334">
        <v>16</v>
      </c>
      <c r="G334">
        <v>16</v>
      </c>
      <c r="H334">
        <v>0</v>
      </c>
      <c r="I334" s="1">
        <v>1612</v>
      </c>
      <c r="J334" s="2">
        <v>150740</v>
      </c>
      <c r="K334">
        <f t="shared" si="5"/>
        <v>256</v>
      </c>
    </row>
    <row r="335" spans="1:11" x14ac:dyDescent="0.3">
      <c r="A335" t="s">
        <v>370</v>
      </c>
      <c r="B335" t="s">
        <v>12</v>
      </c>
      <c r="C335" t="s">
        <v>21</v>
      </c>
      <c r="D335" t="s">
        <v>362</v>
      </c>
      <c r="E335" t="s">
        <v>15</v>
      </c>
      <c r="F335">
        <v>17</v>
      </c>
      <c r="G335">
        <v>17</v>
      </c>
      <c r="H335">
        <v>0</v>
      </c>
      <c r="I335" s="1">
        <v>1714</v>
      </c>
      <c r="J335" s="2">
        <v>150740</v>
      </c>
      <c r="K335">
        <f t="shared" si="5"/>
        <v>289</v>
      </c>
    </row>
    <row r="336" spans="1:11" x14ac:dyDescent="0.3">
      <c r="A336" t="s">
        <v>371</v>
      </c>
      <c r="B336" t="s">
        <v>12</v>
      </c>
      <c r="C336" t="s">
        <v>21</v>
      </c>
      <c r="D336" t="s">
        <v>362</v>
      </c>
      <c r="E336" t="s">
        <v>15</v>
      </c>
      <c r="F336">
        <v>18</v>
      </c>
      <c r="G336">
        <v>18</v>
      </c>
      <c r="H336">
        <v>0</v>
      </c>
      <c r="I336" s="1">
        <v>1807</v>
      </c>
      <c r="J336" s="2">
        <v>150740</v>
      </c>
      <c r="K336">
        <f t="shared" si="5"/>
        <v>324</v>
      </c>
    </row>
    <row r="337" spans="1:11" x14ac:dyDescent="0.3">
      <c r="A337" t="s">
        <v>372</v>
      </c>
      <c r="B337" t="s">
        <v>12</v>
      </c>
      <c r="C337" t="s">
        <v>27</v>
      </c>
      <c r="D337" t="s">
        <v>362</v>
      </c>
      <c r="E337" t="s">
        <v>15</v>
      </c>
      <c r="F337">
        <v>180</v>
      </c>
      <c r="G337">
        <v>167</v>
      </c>
      <c r="H337">
        <v>0</v>
      </c>
      <c r="I337" s="1">
        <v>18118</v>
      </c>
      <c r="J337" s="2">
        <v>116901</v>
      </c>
      <c r="K337">
        <f t="shared" si="5"/>
        <v>30060</v>
      </c>
    </row>
    <row r="338" spans="1:11" x14ac:dyDescent="0.3">
      <c r="A338" t="s">
        <v>373</v>
      </c>
      <c r="B338" t="s">
        <v>12</v>
      </c>
      <c r="C338" t="s">
        <v>27</v>
      </c>
      <c r="D338" t="s">
        <v>362</v>
      </c>
      <c r="E338" t="s">
        <v>15</v>
      </c>
      <c r="F338">
        <v>61</v>
      </c>
      <c r="G338">
        <v>53</v>
      </c>
      <c r="H338">
        <v>0</v>
      </c>
      <c r="I338" s="1">
        <v>6136</v>
      </c>
      <c r="J338" s="2">
        <v>148691</v>
      </c>
      <c r="K338">
        <f t="shared" si="5"/>
        <v>3233</v>
      </c>
    </row>
    <row r="339" spans="1:11" x14ac:dyDescent="0.3">
      <c r="A339" t="s">
        <v>374</v>
      </c>
      <c r="B339" t="s">
        <v>12</v>
      </c>
      <c r="C339" t="s">
        <v>27</v>
      </c>
      <c r="D339" t="s">
        <v>362</v>
      </c>
      <c r="E339" t="s">
        <v>15</v>
      </c>
      <c r="F339">
        <v>65</v>
      </c>
      <c r="G339">
        <v>62</v>
      </c>
      <c r="H339">
        <v>0</v>
      </c>
      <c r="I339" s="1">
        <v>6539</v>
      </c>
      <c r="J339" s="2">
        <v>144859</v>
      </c>
      <c r="K339">
        <f t="shared" si="5"/>
        <v>4030</v>
      </c>
    </row>
    <row r="340" spans="1:11" x14ac:dyDescent="0.3">
      <c r="A340" t="s">
        <v>375</v>
      </c>
      <c r="B340" t="s">
        <v>12</v>
      </c>
      <c r="C340" t="s">
        <v>27</v>
      </c>
      <c r="D340" t="s">
        <v>362</v>
      </c>
      <c r="E340" t="s">
        <v>15</v>
      </c>
      <c r="F340">
        <v>174</v>
      </c>
      <c r="G340">
        <v>163</v>
      </c>
      <c r="H340">
        <v>0</v>
      </c>
      <c r="I340" s="1">
        <v>17518</v>
      </c>
      <c r="J340" s="2">
        <v>117375</v>
      </c>
      <c r="K340">
        <f t="shared" si="5"/>
        <v>28362</v>
      </c>
    </row>
    <row r="341" spans="1:11" x14ac:dyDescent="0.3">
      <c r="A341" t="s">
        <v>376</v>
      </c>
      <c r="B341" t="s">
        <v>12</v>
      </c>
      <c r="C341" t="s">
        <v>27</v>
      </c>
      <c r="D341" t="s">
        <v>362</v>
      </c>
      <c r="E341" t="s">
        <v>15</v>
      </c>
      <c r="F341">
        <v>79</v>
      </c>
      <c r="G341">
        <v>75</v>
      </c>
      <c r="H341">
        <v>0</v>
      </c>
      <c r="I341" s="1">
        <v>7951</v>
      </c>
      <c r="J341" s="2">
        <v>137128</v>
      </c>
      <c r="K341">
        <f t="shared" si="5"/>
        <v>5925</v>
      </c>
    </row>
    <row r="342" spans="1:11" x14ac:dyDescent="0.3">
      <c r="A342" t="s">
        <v>377</v>
      </c>
      <c r="B342" t="s">
        <v>12</v>
      </c>
      <c r="C342" t="s">
        <v>35</v>
      </c>
      <c r="D342" t="s">
        <v>362</v>
      </c>
      <c r="E342" t="s">
        <v>30</v>
      </c>
      <c r="F342">
        <v>300</v>
      </c>
      <c r="G342">
        <v>276</v>
      </c>
      <c r="H342">
        <v>1</v>
      </c>
      <c r="I342" s="1">
        <v>30272</v>
      </c>
      <c r="J342" t="s">
        <v>31</v>
      </c>
      <c r="K342">
        <f t="shared" si="5"/>
        <v>124201.79999999999</v>
      </c>
    </row>
    <row r="343" spans="1:11" x14ac:dyDescent="0.3">
      <c r="A343" t="s">
        <v>378</v>
      </c>
      <c r="B343" t="s">
        <v>12</v>
      </c>
      <c r="C343" t="s">
        <v>35</v>
      </c>
      <c r="D343" t="s">
        <v>362</v>
      </c>
      <c r="E343" t="s">
        <v>30</v>
      </c>
      <c r="F343">
        <v>300</v>
      </c>
      <c r="G343">
        <v>285</v>
      </c>
      <c r="H343">
        <v>4</v>
      </c>
      <c r="I343" s="1">
        <v>30580</v>
      </c>
      <c r="J343" t="s">
        <v>31</v>
      </c>
      <c r="K343">
        <f t="shared" si="5"/>
        <v>128257.20000000001</v>
      </c>
    </row>
    <row r="344" spans="1:11" x14ac:dyDescent="0.3">
      <c r="A344" t="s">
        <v>379</v>
      </c>
      <c r="B344" t="s">
        <v>12</v>
      </c>
      <c r="C344" t="s">
        <v>35</v>
      </c>
      <c r="D344" t="s">
        <v>362</v>
      </c>
      <c r="E344" t="s">
        <v>15</v>
      </c>
      <c r="F344">
        <v>82</v>
      </c>
      <c r="G344">
        <v>76</v>
      </c>
      <c r="H344">
        <v>0</v>
      </c>
      <c r="I344" s="1">
        <v>8253</v>
      </c>
      <c r="J344" s="2">
        <v>136234</v>
      </c>
      <c r="K344">
        <f t="shared" si="5"/>
        <v>6232</v>
      </c>
    </row>
    <row r="345" spans="1:11" x14ac:dyDescent="0.3">
      <c r="A345" t="s">
        <v>380</v>
      </c>
      <c r="B345" t="s">
        <v>12</v>
      </c>
      <c r="C345" t="s">
        <v>35</v>
      </c>
      <c r="D345" t="s">
        <v>362</v>
      </c>
      <c r="E345" t="s">
        <v>30</v>
      </c>
      <c r="F345">
        <v>300</v>
      </c>
      <c r="G345">
        <v>279</v>
      </c>
      <c r="H345">
        <v>1</v>
      </c>
      <c r="I345" s="1">
        <v>30284</v>
      </c>
      <c r="J345" t="s">
        <v>31</v>
      </c>
      <c r="K345">
        <f t="shared" si="5"/>
        <v>125551.79999999999</v>
      </c>
    </row>
    <row r="346" spans="1:11" x14ac:dyDescent="0.3">
      <c r="A346" t="s">
        <v>381</v>
      </c>
      <c r="B346" t="s">
        <v>12</v>
      </c>
      <c r="C346" t="s">
        <v>35</v>
      </c>
      <c r="D346" t="s">
        <v>362</v>
      </c>
      <c r="E346" t="s">
        <v>15</v>
      </c>
      <c r="F346">
        <v>188</v>
      </c>
      <c r="G346">
        <v>181</v>
      </c>
      <c r="H346">
        <v>1</v>
      </c>
      <c r="I346" s="1">
        <v>19022</v>
      </c>
      <c r="J346" s="2">
        <v>115922</v>
      </c>
      <c r="K346">
        <f t="shared" si="5"/>
        <v>34029.199999999997</v>
      </c>
    </row>
    <row r="347" spans="1:11" x14ac:dyDescent="0.3">
      <c r="A347" t="s">
        <v>382</v>
      </c>
      <c r="B347" t="s">
        <v>12</v>
      </c>
      <c r="C347" t="s">
        <v>42</v>
      </c>
      <c r="D347" t="s">
        <v>362</v>
      </c>
      <c r="E347" t="s">
        <v>15</v>
      </c>
      <c r="F347">
        <v>118</v>
      </c>
      <c r="G347">
        <v>114</v>
      </c>
      <c r="H347">
        <v>0</v>
      </c>
      <c r="I347" s="1">
        <v>11872</v>
      </c>
      <c r="J347" s="2">
        <v>124885</v>
      </c>
      <c r="K347">
        <f t="shared" si="5"/>
        <v>13452</v>
      </c>
    </row>
    <row r="348" spans="1:11" x14ac:dyDescent="0.3">
      <c r="A348" t="s">
        <v>383</v>
      </c>
      <c r="B348" t="s">
        <v>12</v>
      </c>
      <c r="C348" t="s">
        <v>42</v>
      </c>
      <c r="D348" t="s">
        <v>362</v>
      </c>
      <c r="E348" t="s">
        <v>15</v>
      </c>
      <c r="F348">
        <v>125</v>
      </c>
      <c r="G348">
        <v>116</v>
      </c>
      <c r="H348">
        <v>0</v>
      </c>
      <c r="I348" s="1">
        <v>12584</v>
      </c>
      <c r="J348" s="2">
        <v>124009</v>
      </c>
      <c r="K348">
        <f t="shared" si="5"/>
        <v>14500</v>
      </c>
    </row>
    <row r="349" spans="1:11" x14ac:dyDescent="0.3">
      <c r="A349" t="s">
        <v>384</v>
      </c>
      <c r="B349" t="s">
        <v>12</v>
      </c>
      <c r="C349" t="s">
        <v>42</v>
      </c>
      <c r="D349" t="s">
        <v>362</v>
      </c>
      <c r="E349" t="s">
        <v>15</v>
      </c>
      <c r="F349">
        <v>16</v>
      </c>
      <c r="G349">
        <v>16</v>
      </c>
      <c r="H349">
        <v>0</v>
      </c>
      <c r="I349" s="1">
        <v>1609</v>
      </c>
      <c r="J349" s="2">
        <v>150740</v>
      </c>
      <c r="K349">
        <f t="shared" si="5"/>
        <v>256</v>
      </c>
    </row>
    <row r="350" spans="1:11" x14ac:dyDescent="0.3">
      <c r="A350" t="s">
        <v>385</v>
      </c>
      <c r="B350" t="s">
        <v>12</v>
      </c>
      <c r="C350" t="s">
        <v>42</v>
      </c>
      <c r="D350" t="s">
        <v>362</v>
      </c>
      <c r="E350" t="s">
        <v>15</v>
      </c>
      <c r="F350">
        <v>16</v>
      </c>
      <c r="G350">
        <v>16</v>
      </c>
      <c r="H350">
        <v>0</v>
      </c>
      <c r="I350" s="1">
        <v>1612</v>
      </c>
      <c r="J350" s="2">
        <v>150740</v>
      </c>
      <c r="K350">
        <f t="shared" si="5"/>
        <v>256</v>
      </c>
    </row>
    <row r="351" spans="1:11" x14ac:dyDescent="0.3">
      <c r="A351" t="s">
        <v>386</v>
      </c>
      <c r="B351" t="s">
        <v>12</v>
      </c>
      <c r="C351" t="s">
        <v>42</v>
      </c>
      <c r="D351" t="s">
        <v>362</v>
      </c>
      <c r="E351" t="s">
        <v>15</v>
      </c>
      <c r="F351">
        <v>58</v>
      </c>
      <c r="G351">
        <v>58</v>
      </c>
      <c r="H351">
        <v>0</v>
      </c>
      <c r="I351" s="1">
        <v>5829</v>
      </c>
      <c r="J351" s="2">
        <v>149016</v>
      </c>
      <c r="K351">
        <f t="shared" si="5"/>
        <v>3364</v>
      </c>
    </row>
    <row r="352" spans="1:11" x14ac:dyDescent="0.3">
      <c r="A352" t="s">
        <v>387</v>
      </c>
      <c r="B352" t="s">
        <v>12</v>
      </c>
      <c r="C352" t="s">
        <v>13</v>
      </c>
      <c r="D352" t="s">
        <v>388</v>
      </c>
      <c r="E352" t="s">
        <v>15</v>
      </c>
      <c r="F352">
        <v>34</v>
      </c>
      <c r="G352">
        <v>34</v>
      </c>
      <c r="H352">
        <v>0</v>
      </c>
      <c r="I352" s="1">
        <v>3418</v>
      </c>
      <c r="J352" s="2">
        <v>150740</v>
      </c>
      <c r="K352">
        <f t="shared" si="5"/>
        <v>1156</v>
      </c>
    </row>
    <row r="353" spans="1:11" x14ac:dyDescent="0.3">
      <c r="A353" t="s">
        <v>389</v>
      </c>
      <c r="B353" t="s">
        <v>12</v>
      </c>
      <c r="C353" t="s">
        <v>13</v>
      </c>
      <c r="D353" t="s">
        <v>388</v>
      </c>
      <c r="E353" t="s">
        <v>15</v>
      </c>
      <c r="F353">
        <v>22</v>
      </c>
      <c r="G353">
        <v>22</v>
      </c>
      <c r="H353">
        <v>0</v>
      </c>
      <c r="I353" s="1">
        <v>2216</v>
      </c>
      <c r="J353" s="2">
        <v>150740</v>
      </c>
      <c r="K353">
        <f t="shared" si="5"/>
        <v>484</v>
      </c>
    </row>
    <row r="354" spans="1:11" x14ac:dyDescent="0.3">
      <c r="A354" t="s">
        <v>390</v>
      </c>
      <c r="B354" t="s">
        <v>12</v>
      </c>
      <c r="C354" t="s">
        <v>13</v>
      </c>
      <c r="D354" t="s">
        <v>388</v>
      </c>
      <c r="E354" t="s">
        <v>15</v>
      </c>
      <c r="F354">
        <v>22</v>
      </c>
      <c r="G354">
        <v>22</v>
      </c>
      <c r="H354">
        <v>0</v>
      </c>
      <c r="I354" s="1">
        <v>2214</v>
      </c>
      <c r="J354" s="2">
        <v>150740</v>
      </c>
      <c r="K354">
        <f t="shared" si="5"/>
        <v>484</v>
      </c>
    </row>
    <row r="355" spans="1:11" x14ac:dyDescent="0.3">
      <c r="A355" t="s">
        <v>391</v>
      </c>
      <c r="B355" t="s">
        <v>12</v>
      </c>
      <c r="C355" t="s">
        <v>13</v>
      </c>
      <c r="D355" t="s">
        <v>388</v>
      </c>
      <c r="E355" t="s">
        <v>15</v>
      </c>
      <c r="F355">
        <v>48</v>
      </c>
      <c r="G355">
        <v>46</v>
      </c>
      <c r="H355">
        <v>0</v>
      </c>
      <c r="I355" s="1">
        <v>4832</v>
      </c>
      <c r="J355" s="2">
        <v>150740</v>
      </c>
      <c r="K355">
        <f t="shared" si="5"/>
        <v>2208</v>
      </c>
    </row>
    <row r="356" spans="1:11" x14ac:dyDescent="0.3">
      <c r="A356" t="s">
        <v>392</v>
      </c>
      <c r="B356" t="s">
        <v>12</v>
      </c>
      <c r="C356" t="s">
        <v>13</v>
      </c>
      <c r="D356" t="s">
        <v>388</v>
      </c>
      <c r="E356" t="s">
        <v>15</v>
      </c>
      <c r="F356">
        <v>55</v>
      </c>
      <c r="G356">
        <v>53</v>
      </c>
      <c r="H356">
        <v>0</v>
      </c>
      <c r="I356" s="1">
        <v>5537</v>
      </c>
      <c r="J356" s="2">
        <v>150740</v>
      </c>
      <c r="K356">
        <f t="shared" si="5"/>
        <v>2915</v>
      </c>
    </row>
    <row r="357" spans="1:11" x14ac:dyDescent="0.3">
      <c r="A357" t="s">
        <v>393</v>
      </c>
      <c r="B357" t="s">
        <v>12</v>
      </c>
      <c r="C357" t="s">
        <v>21</v>
      </c>
      <c r="D357" t="s">
        <v>388</v>
      </c>
      <c r="E357" t="s">
        <v>15</v>
      </c>
      <c r="F357">
        <v>34</v>
      </c>
      <c r="G357">
        <v>34</v>
      </c>
      <c r="H357">
        <v>0</v>
      </c>
      <c r="I357" s="1">
        <v>3426</v>
      </c>
      <c r="J357" s="2">
        <v>150740</v>
      </c>
      <c r="K357">
        <f t="shared" si="5"/>
        <v>1156</v>
      </c>
    </row>
    <row r="358" spans="1:11" x14ac:dyDescent="0.3">
      <c r="A358" t="s">
        <v>394</v>
      </c>
      <c r="B358" t="s">
        <v>12</v>
      </c>
      <c r="C358" t="s">
        <v>21</v>
      </c>
      <c r="D358" t="s">
        <v>388</v>
      </c>
      <c r="E358" t="s">
        <v>15</v>
      </c>
      <c r="F358">
        <v>33</v>
      </c>
      <c r="G358">
        <v>33</v>
      </c>
      <c r="H358">
        <v>0</v>
      </c>
      <c r="I358" s="1">
        <v>3324</v>
      </c>
      <c r="J358" s="2">
        <v>150740</v>
      </c>
      <c r="K358">
        <f t="shared" si="5"/>
        <v>1089</v>
      </c>
    </row>
    <row r="359" spans="1:11" x14ac:dyDescent="0.3">
      <c r="A359" t="s">
        <v>395</v>
      </c>
      <c r="B359" t="s">
        <v>12</v>
      </c>
      <c r="C359" t="s">
        <v>21</v>
      </c>
      <c r="D359" t="s">
        <v>388</v>
      </c>
      <c r="E359" t="s">
        <v>15</v>
      </c>
      <c r="F359">
        <v>40</v>
      </c>
      <c r="G359">
        <v>40</v>
      </c>
      <c r="H359">
        <v>0</v>
      </c>
      <c r="I359" s="1">
        <v>4032</v>
      </c>
      <c r="J359" s="2">
        <v>150740</v>
      </c>
      <c r="K359">
        <f t="shared" si="5"/>
        <v>1600</v>
      </c>
    </row>
    <row r="360" spans="1:11" x14ac:dyDescent="0.3">
      <c r="A360" t="s">
        <v>396</v>
      </c>
      <c r="B360" t="s">
        <v>12</v>
      </c>
      <c r="C360" t="s">
        <v>21</v>
      </c>
      <c r="D360" t="s">
        <v>388</v>
      </c>
      <c r="E360" t="s">
        <v>15</v>
      </c>
      <c r="F360">
        <v>30</v>
      </c>
      <c r="G360">
        <v>30</v>
      </c>
      <c r="H360">
        <v>0</v>
      </c>
      <c r="I360" s="1">
        <v>3022</v>
      </c>
      <c r="J360" s="2">
        <v>150740</v>
      </c>
      <c r="K360">
        <f t="shared" si="5"/>
        <v>900</v>
      </c>
    </row>
    <row r="361" spans="1:11" x14ac:dyDescent="0.3">
      <c r="A361" t="s">
        <v>397</v>
      </c>
      <c r="B361" t="s">
        <v>12</v>
      </c>
      <c r="C361" t="s">
        <v>21</v>
      </c>
      <c r="D361" t="s">
        <v>388</v>
      </c>
      <c r="E361" t="s">
        <v>15</v>
      </c>
      <c r="F361">
        <v>16</v>
      </c>
      <c r="G361">
        <v>16</v>
      </c>
      <c r="H361">
        <v>0</v>
      </c>
      <c r="I361" s="1">
        <v>1606</v>
      </c>
      <c r="J361" s="2">
        <v>150740</v>
      </c>
      <c r="K361">
        <f t="shared" si="5"/>
        <v>256</v>
      </c>
    </row>
    <row r="362" spans="1:11" x14ac:dyDescent="0.3">
      <c r="A362" t="s">
        <v>398</v>
      </c>
      <c r="B362" t="s">
        <v>12</v>
      </c>
      <c r="C362" t="s">
        <v>27</v>
      </c>
      <c r="D362" t="s">
        <v>388</v>
      </c>
      <c r="E362" t="s">
        <v>15</v>
      </c>
      <c r="F362">
        <v>101</v>
      </c>
      <c r="G362">
        <v>96</v>
      </c>
      <c r="H362">
        <v>0</v>
      </c>
      <c r="I362" s="1">
        <v>10163</v>
      </c>
      <c r="J362" s="2">
        <v>129185</v>
      </c>
      <c r="K362">
        <f t="shared" si="5"/>
        <v>9696</v>
      </c>
    </row>
    <row r="363" spans="1:11" x14ac:dyDescent="0.3">
      <c r="A363" t="s">
        <v>399</v>
      </c>
      <c r="B363" t="s">
        <v>12</v>
      </c>
      <c r="C363" t="s">
        <v>27</v>
      </c>
      <c r="D363" t="s">
        <v>388</v>
      </c>
      <c r="E363" t="s">
        <v>15</v>
      </c>
      <c r="F363">
        <v>41</v>
      </c>
      <c r="G363">
        <v>37</v>
      </c>
      <c r="H363">
        <v>0</v>
      </c>
      <c r="I363" s="1">
        <v>4130</v>
      </c>
      <c r="J363" s="2">
        <v>150740</v>
      </c>
      <c r="K363">
        <f t="shared" si="5"/>
        <v>1517</v>
      </c>
    </row>
    <row r="364" spans="1:11" x14ac:dyDescent="0.3">
      <c r="A364" t="s">
        <v>400</v>
      </c>
      <c r="B364" t="s">
        <v>12</v>
      </c>
      <c r="C364" t="s">
        <v>27</v>
      </c>
      <c r="D364" t="s">
        <v>388</v>
      </c>
      <c r="E364" t="s">
        <v>15</v>
      </c>
      <c r="F364">
        <v>65</v>
      </c>
      <c r="G364">
        <v>62</v>
      </c>
      <c r="H364">
        <v>0</v>
      </c>
      <c r="I364" s="1">
        <v>6545</v>
      </c>
      <c r="J364" s="2">
        <v>144859</v>
      </c>
      <c r="K364">
        <f t="shared" si="5"/>
        <v>4030</v>
      </c>
    </row>
    <row r="365" spans="1:11" x14ac:dyDescent="0.3">
      <c r="A365" t="s">
        <v>401</v>
      </c>
      <c r="B365" t="s">
        <v>12</v>
      </c>
      <c r="C365" t="s">
        <v>27</v>
      </c>
      <c r="D365" t="s">
        <v>388</v>
      </c>
      <c r="E365" t="s">
        <v>15</v>
      </c>
      <c r="F365">
        <v>52</v>
      </c>
      <c r="G365">
        <v>48</v>
      </c>
      <c r="H365">
        <v>0</v>
      </c>
      <c r="I365" s="1">
        <v>5241</v>
      </c>
      <c r="J365" s="2">
        <v>150740</v>
      </c>
      <c r="K365">
        <f t="shared" si="5"/>
        <v>2496</v>
      </c>
    </row>
    <row r="366" spans="1:11" x14ac:dyDescent="0.3">
      <c r="A366" t="s">
        <v>402</v>
      </c>
      <c r="B366" t="s">
        <v>12</v>
      </c>
      <c r="C366" t="s">
        <v>27</v>
      </c>
      <c r="D366" t="s">
        <v>388</v>
      </c>
      <c r="E366" t="s">
        <v>15</v>
      </c>
      <c r="F366">
        <v>40</v>
      </c>
      <c r="G366">
        <v>36</v>
      </c>
      <c r="H366">
        <v>0</v>
      </c>
      <c r="I366" s="1">
        <v>4027</v>
      </c>
      <c r="J366" s="2">
        <v>150740</v>
      </c>
      <c r="K366">
        <f t="shared" si="5"/>
        <v>1440</v>
      </c>
    </row>
    <row r="367" spans="1:11" x14ac:dyDescent="0.3">
      <c r="A367" t="s">
        <v>403</v>
      </c>
      <c r="B367" t="s">
        <v>12</v>
      </c>
      <c r="C367" t="s">
        <v>35</v>
      </c>
      <c r="D367" t="s">
        <v>388</v>
      </c>
      <c r="E367" t="s">
        <v>15</v>
      </c>
      <c r="F367">
        <v>295</v>
      </c>
      <c r="G367">
        <v>289</v>
      </c>
      <c r="H367">
        <v>1</v>
      </c>
      <c r="I367" s="1">
        <v>29782</v>
      </c>
      <c r="J367" s="2">
        <v>110330</v>
      </c>
      <c r="K367">
        <f t="shared" si="5"/>
        <v>85256.2</v>
      </c>
    </row>
    <row r="368" spans="1:11" x14ac:dyDescent="0.3">
      <c r="A368" t="s">
        <v>404</v>
      </c>
      <c r="B368" t="s">
        <v>12</v>
      </c>
      <c r="C368" t="s">
        <v>35</v>
      </c>
      <c r="D368" t="s">
        <v>388</v>
      </c>
      <c r="E368" t="s">
        <v>15</v>
      </c>
      <c r="F368">
        <v>89</v>
      </c>
      <c r="G368">
        <v>88</v>
      </c>
      <c r="H368">
        <v>1</v>
      </c>
      <c r="I368" s="1">
        <v>9060</v>
      </c>
      <c r="J368" s="2">
        <v>132379</v>
      </c>
      <c r="K368">
        <f t="shared" si="5"/>
        <v>7833.2</v>
      </c>
    </row>
    <row r="369" spans="1:11" x14ac:dyDescent="0.3">
      <c r="A369" t="s">
        <v>405</v>
      </c>
      <c r="B369" t="s">
        <v>12</v>
      </c>
      <c r="C369" t="s">
        <v>35</v>
      </c>
      <c r="D369" t="s">
        <v>388</v>
      </c>
      <c r="E369" t="s">
        <v>15</v>
      </c>
      <c r="F369">
        <v>37</v>
      </c>
      <c r="G369">
        <v>37</v>
      </c>
      <c r="H369">
        <v>0</v>
      </c>
      <c r="I369" s="1">
        <v>3724</v>
      </c>
      <c r="J369" s="2">
        <v>150740</v>
      </c>
      <c r="K369">
        <f t="shared" si="5"/>
        <v>1369</v>
      </c>
    </row>
    <row r="370" spans="1:11" x14ac:dyDescent="0.3">
      <c r="A370" t="s">
        <v>406</v>
      </c>
      <c r="B370" t="s">
        <v>12</v>
      </c>
      <c r="C370" t="s">
        <v>35</v>
      </c>
      <c r="D370" t="s">
        <v>388</v>
      </c>
      <c r="E370" t="s">
        <v>15</v>
      </c>
      <c r="F370">
        <v>22</v>
      </c>
      <c r="G370">
        <v>22</v>
      </c>
      <c r="H370">
        <v>0</v>
      </c>
      <c r="I370" s="1">
        <v>2214</v>
      </c>
      <c r="J370" s="2">
        <v>150740</v>
      </c>
      <c r="K370">
        <f t="shared" si="5"/>
        <v>484</v>
      </c>
    </row>
    <row r="371" spans="1:11" x14ac:dyDescent="0.3">
      <c r="A371" t="s">
        <v>407</v>
      </c>
      <c r="B371" t="s">
        <v>12</v>
      </c>
      <c r="C371" t="s">
        <v>35</v>
      </c>
      <c r="D371" t="s">
        <v>388</v>
      </c>
      <c r="E371" t="s">
        <v>15</v>
      </c>
      <c r="F371">
        <v>53</v>
      </c>
      <c r="G371">
        <v>52</v>
      </c>
      <c r="H371">
        <v>1</v>
      </c>
      <c r="I371" s="1">
        <v>5439</v>
      </c>
      <c r="J371" s="2">
        <v>150740</v>
      </c>
      <c r="K371">
        <f t="shared" si="5"/>
        <v>2757.2</v>
      </c>
    </row>
    <row r="372" spans="1:11" x14ac:dyDescent="0.3">
      <c r="A372" t="s">
        <v>408</v>
      </c>
      <c r="B372" t="s">
        <v>12</v>
      </c>
      <c r="C372" t="s">
        <v>42</v>
      </c>
      <c r="D372" t="s">
        <v>388</v>
      </c>
      <c r="E372" t="s">
        <v>15</v>
      </c>
      <c r="F372">
        <v>58</v>
      </c>
      <c r="G372">
        <v>57</v>
      </c>
      <c r="H372">
        <v>0</v>
      </c>
      <c r="I372" s="1">
        <v>5839</v>
      </c>
      <c r="J372" s="2">
        <v>149439</v>
      </c>
      <c r="K372">
        <f t="shared" si="5"/>
        <v>3306</v>
      </c>
    </row>
    <row r="373" spans="1:11" x14ac:dyDescent="0.3">
      <c r="A373" t="s">
        <v>409</v>
      </c>
      <c r="B373" t="s">
        <v>12</v>
      </c>
      <c r="C373" t="s">
        <v>42</v>
      </c>
      <c r="D373" t="s">
        <v>388</v>
      </c>
      <c r="E373" t="s">
        <v>15</v>
      </c>
      <c r="F373">
        <v>30</v>
      </c>
      <c r="G373">
        <v>30</v>
      </c>
      <c r="H373">
        <v>0</v>
      </c>
      <c r="I373" s="1">
        <v>3017</v>
      </c>
      <c r="J373" s="2">
        <v>150740</v>
      </c>
      <c r="K373">
        <f t="shared" si="5"/>
        <v>900</v>
      </c>
    </row>
    <row r="374" spans="1:11" x14ac:dyDescent="0.3">
      <c r="A374" t="s">
        <v>410</v>
      </c>
      <c r="B374" t="s">
        <v>12</v>
      </c>
      <c r="C374" t="s">
        <v>42</v>
      </c>
      <c r="D374" t="s">
        <v>388</v>
      </c>
      <c r="E374" t="s">
        <v>15</v>
      </c>
      <c r="F374">
        <v>12</v>
      </c>
      <c r="G374">
        <v>12</v>
      </c>
      <c r="H374">
        <v>0</v>
      </c>
      <c r="I374" s="1">
        <v>1207</v>
      </c>
      <c r="J374" s="2">
        <v>150740</v>
      </c>
      <c r="K374">
        <f t="shared" si="5"/>
        <v>144</v>
      </c>
    </row>
    <row r="375" spans="1:11" x14ac:dyDescent="0.3">
      <c r="A375" t="s">
        <v>411</v>
      </c>
      <c r="B375" t="s">
        <v>12</v>
      </c>
      <c r="C375" t="s">
        <v>42</v>
      </c>
      <c r="D375" t="s">
        <v>388</v>
      </c>
      <c r="E375" t="s">
        <v>15</v>
      </c>
      <c r="F375">
        <v>20</v>
      </c>
      <c r="G375">
        <v>20</v>
      </c>
      <c r="H375">
        <v>0</v>
      </c>
      <c r="I375" s="1">
        <v>2015</v>
      </c>
      <c r="J375" s="2">
        <v>150740</v>
      </c>
      <c r="K375">
        <f t="shared" si="5"/>
        <v>400</v>
      </c>
    </row>
    <row r="376" spans="1:11" x14ac:dyDescent="0.3">
      <c r="A376" t="s">
        <v>412</v>
      </c>
      <c r="B376" t="s">
        <v>12</v>
      </c>
      <c r="C376" t="s">
        <v>42</v>
      </c>
      <c r="D376" t="s">
        <v>388</v>
      </c>
      <c r="E376" t="s">
        <v>15</v>
      </c>
      <c r="F376">
        <v>17</v>
      </c>
      <c r="G376">
        <v>17</v>
      </c>
      <c r="H376">
        <v>0</v>
      </c>
      <c r="I376" s="1">
        <v>1712</v>
      </c>
      <c r="J376" s="2">
        <v>150740</v>
      </c>
      <c r="K376">
        <f t="shared" si="5"/>
        <v>289</v>
      </c>
    </row>
    <row r="382" spans="1:11" x14ac:dyDescent="0.3">
      <c r="H382" t="s">
        <v>413</v>
      </c>
      <c r="I382">
        <f>AVERAGE(K2:K376)</f>
        <v>10234.704000000005</v>
      </c>
    </row>
    <row r="383" spans="1:11" x14ac:dyDescent="0.3">
      <c r="H383" t="s">
        <v>414</v>
      </c>
      <c r="I383">
        <f>MIN(K2:K376)</f>
        <v>121</v>
      </c>
    </row>
    <row r="384" spans="1:11" x14ac:dyDescent="0.3">
      <c r="H384" t="s">
        <v>415</v>
      </c>
      <c r="I384">
        <f>MAX(K2:K376)</f>
        <v>133200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Menneske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Sebastian Juul Knudsen</cp:lastModifiedBy>
  <dcterms:created xsi:type="dcterms:W3CDTF">2026-06-08T10:19:00Z</dcterms:created>
  <dcterms:modified xsi:type="dcterms:W3CDTF">2026-06-08T10:19:00Z</dcterms:modified>
</cp:coreProperties>
</file>